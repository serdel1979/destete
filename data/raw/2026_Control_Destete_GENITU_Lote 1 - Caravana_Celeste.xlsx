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8"/>
  <workbookPr checkCompatibility="1"/>
  <mc:AlternateContent xmlns:mc="http://schemas.openxmlformats.org/markup-compatibility/2006">
    <mc:Choice Requires="x15">
      <x15ac:absPath xmlns:x15ac="http://schemas.microsoft.com/office/spreadsheetml/2010/11/ac" url="C:\Users\Trabajo\Dropbox\GENITU\Campo\03_Ganado\04_Destete de Terneros\2026\02_Destete Primavera\"/>
    </mc:Choice>
  </mc:AlternateContent>
  <xr:revisionPtr revIDLastSave="0" documentId="13_ncr:1_{8CE59702-6A99-4805-96F3-77892B6E8667}" xr6:coauthVersionLast="47" xr6:coauthVersionMax="47" xr10:uidLastSave="{00000000-0000-0000-0000-000000000000}"/>
  <bookViews>
    <workbookView xWindow="-23148" yWindow="-108" windowWidth="23256" windowHeight="12576" firstSheet="4" activeTab="7" xr2:uid="{00000000-000D-0000-FFFF-FFFF00000000}"/>
  </bookViews>
  <sheets>
    <sheet name="HIPER" sheetId="1" state="hidden" r:id="rId1"/>
    <sheet name="PRECOZ" sheetId="4" state="hidden" r:id="rId2"/>
    <sheet name="RESUMEN" sheetId="2" state="hidden" r:id="rId3"/>
    <sheet name="SEGUIMIENTO" sheetId="7" state="hidden" r:id="rId4"/>
    <sheet name="VARIABLES MODELO" sheetId="8" r:id="rId5"/>
    <sheet name="MODELO 150D" sheetId="9" r:id="rId6"/>
    <sheet name="CONTROL QUINCENAL" sheetId="10" r:id="rId7"/>
    <sheet name="RESUMEN MEJORADO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0" l="1"/>
  <c r="B8" i="8"/>
  <c r="B4" i="11"/>
  <c r="D4" i="9"/>
  <c r="D5" i="9" s="1"/>
  <c r="D6" i="9" s="1"/>
  <c r="D7" i="9" s="1"/>
  <c r="D8" i="9" s="1"/>
  <c r="D9" i="9" s="1"/>
  <c r="D10" i="9" s="1"/>
  <c r="D11" i="9" s="1"/>
  <c r="D12" i="9" s="1"/>
  <c r="D13" i="9" s="1"/>
  <c r="D14" i="9" s="1"/>
  <c r="D15" i="9" s="1"/>
  <c r="D16" i="9" s="1"/>
  <c r="D17" i="9" s="1"/>
  <c r="D18" i="9" s="1"/>
  <c r="D19" i="9" s="1"/>
  <c r="D20" i="9" s="1"/>
  <c r="D21" i="9" s="1"/>
  <c r="D22" i="9" s="1"/>
  <c r="D23" i="9" s="1"/>
  <c r="D24" i="9" s="1"/>
  <c r="D25" i="9" s="1"/>
  <c r="D26" i="9" s="1"/>
  <c r="D27" i="9" s="1"/>
  <c r="D28" i="9" s="1"/>
  <c r="D29" i="9" s="1"/>
  <c r="D30" i="9" s="1"/>
  <c r="D31" i="9" s="1"/>
  <c r="D32" i="9" s="1"/>
  <c r="D33" i="9" s="1"/>
  <c r="D34" i="9" s="1"/>
  <c r="D35" i="9" s="1"/>
  <c r="D36" i="9" s="1"/>
  <c r="D37" i="9" s="1"/>
  <c r="D38" i="9" s="1"/>
  <c r="D39" i="9" s="1"/>
  <c r="D40" i="9" s="1"/>
  <c r="D41" i="9" s="1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D56" i="9" s="1"/>
  <c r="D57" i="9" s="1"/>
  <c r="D58" i="9" s="1"/>
  <c r="D59" i="9" s="1"/>
  <c r="D60" i="9" s="1"/>
  <c r="D61" i="9" s="1"/>
  <c r="D62" i="9" s="1"/>
  <c r="D63" i="9" s="1"/>
  <c r="D64" i="9" s="1"/>
  <c r="D65" i="9" s="1"/>
  <c r="D66" i="9" s="1"/>
  <c r="D67" i="9" s="1"/>
  <c r="D68" i="9" s="1"/>
  <c r="D69" i="9" s="1"/>
  <c r="D70" i="9" s="1"/>
  <c r="D71" i="9" s="1"/>
  <c r="D72" i="9" s="1"/>
  <c r="D73" i="9" s="1"/>
  <c r="D74" i="9" s="1"/>
  <c r="D75" i="9" s="1"/>
  <c r="D76" i="9" s="1"/>
  <c r="D77" i="9" s="1"/>
  <c r="D78" i="9" s="1"/>
  <c r="D79" i="9" s="1"/>
  <c r="D80" i="9" s="1"/>
  <c r="D81" i="9" s="1"/>
  <c r="D82" i="9" s="1"/>
  <c r="D83" i="9" s="1"/>
  <c r="D84" i="9" s="1"/>
  <c r="D85" i="9" s="1"/>
  <c r="D86" i="9" s="1"/>
  <c r="D87" i="9" s="1"/>
  <c r="D88" i="9" s="1"/>
  <c r="D89" i="9" s="1"/>
  <c r="D90" i="9" s="1"/>
  <c r="D91" i="9" s="1"/>
  <c r="D92" i="9" s="1"/>
  <c r="D93" i="9" s="1"/>
  <c r="D94" i="9" s="1"/>
  <c r="D95" i="9" s="1"/>
  <c r="D96" i="9" s="1"/>
  <c r="D97" i="9" s="1"/>
  <c r="D98" i="9" s="1"/>
  <c r="D99" i="9" s="1"/>
  <c r="D100" i="9" s="1"/>
  <c r="D101" i="9" s="1"/>
  <c r="D102" i="9" s="1"/>
  <c r="D103" i="9" s="1"/>
  <c r="D104" i="9" s="1"/>
  <c r="D105" i="9" s="1"/>
  <c r="D106" i="9" s="1"/>
  <c r="D107" i="9" s="1"/>
  <c r="D108" i="9" s="1"/>
  <c r="D109" i="9" s="1"/>
  <c r="D110" i="9" s="1"/>
  <c r="D111" i="9" s="1"/>
  <c r="D112" i="9" s="1"/>
  <c r="D113" i="9" s="1"/>
  <c r="D114" i="9" s="1"/>
  <c r="D115" i="9" s="1"/>
  <c r="D116" i="9" s="1"/>
  <c r="D117" i="9" s="1"/>
  <c r="D118" i="9" s="1"/>
  <c r="D119" i="9" s="1"/>
  <c r="D120" i="9" s="1"/>
  <c r="D121" i="9" s="1"/>
  <c r="D122" i="9" s="1"/>
  <c r="D123" i="9" s="1"/>
  <c r="D124" i="9" s="1"/>
  <c r="D125" i="9" s="1"/>
  <c r="D126" i="9" s="1"/>
  <c r="D127" i="9" s="1"/>
  <c r="D128" i="9" s="1"/>
  <c r="D129" i="9" s="1"/>
  <c r="D130" i="9" s="1"/>
  <c r="D131" i="9" s="1"/>
  <c r="D132" i="9" s="1"/>
  <c r="D133" i="9" s="1"/>
  <c r="D134" i="9" s="1"/>
  <c r="D135" i="9" s="1"/>
  <c r="D136" i="9" s="1"/>
  <c r="D137" i="9" s="1"/>
  <c r="D138" i="9" s="1"/>
  <c r="D139" i="9" s="1"/>
  <c r="D140" i="9" s="1"/>
  <c r="D141" i="9" s="1"/>
  <c r="D142" i="9" s="1"/>
  <c r="D143" i="9" s="1"/>
  <c r="D144" i="9" s="1"/>
  <c r="D145" i="9" s="1"/>
  <c r="D146" i="9" s="1"/>
  <c r="D147" i="9" s="1"/>
  <c r="D148" i="9" s="1"/>
  <c r="D149" i="9" s="1"/>
  <c r="D150" i="9" s="1"/>
  <c r="D151" i="9" s="1"/>
  <c r="D152" i="9" s="1"/>
  <c r="D153" i="9" s="1"/>
  <c r="B5" i="11"/>
  <c r="E7" i="2"/>
  <c r="D4" i="10"/>
  <c r="C4" i="10"/>
  <c r="F5" i="10"/>
  <c r="F5" i="9" l="1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4" i="9"/>
  <c r="H23" i="7"/>
  <c r="F14" i="10"/>
  <c r="F13" i="10"/>
  <c r="F12" i="10"/>
  <c r="F11" i="10"/>
  <c r="F10" i="10"/>
  <c r="F9" i="10"/>
  <c r="F8" i="10"/>
  <c r="F7" i="10"/>
  <c r="F6" i="10"/>
  <c r="E153" i="9"/>
  <c r="C153" i="9"/>
  <c r="B153" i="9"/>
  <c r="C14" i="10" s="1"/>
  <c r="E152" i="9"/>
  <c r="C152" i="9"/>
  <c r="B152" i="9"/>
  <c r="E151" i="9"/>
  <c r="C151" i="9"/>
  <c r="B151" i="9"/>
  <c r="E150" i="9"/>
  <c r="C150" i="9"/>
  <c r="B150" i="9"/>
  <c r="E149" i="9"/>
  <c r="C149" i="9"/>
  <c r="B149" i="9"/>
  <c r="E148" i="9"/>
  <c r="C148" i="9"/>
  <c r="B148" i="9"/>
  <c r="E147" i="9"/>
  <c r="C147" i="9"/>
  <c r="B147" i="9"/>
  <c r="E146" i="9"/>
  <c r="C146" i="9"/>
  <c r="B146" i="9"/>
  <c r="E145" i="9"/>
  <c r="C145" i="9"/>
  <c r="B145" i="9"/>
  <c r="E144" i="9"/>
  <c r="C144" i="9"/>
  <c r="B144" i="9"/>
  <c r="E143" i="9"/>
  <c r="C143" i="9"/>
  <c r="B143" i="9"/>
  <c r="E142" i="9"/>
  <c r="C142" i="9"/>
  <c r="B142" i="9"/>
  <c r="E141" i="9"/>
  <c r="C141" i="9"/>
  <c r="B141" i="9"/>
  <c r="E140" i="9"/>
  <c r="C140" i="9"/>
  <c r="B140" i="9"/>
  <c r="E139" i="9"/>
  <c r="C139" i="9"/>
  <c r="B139" i="9"/>
  <c r="E138" i="9"/>
  <c r="C138" i="9"/>
  <c r="B138" i="9"/>
  <c r="C13" i="10" s="1"/>
  <c r="E137" i="9"/>
  <c r="C137" i="9"/>
  <c r="B137" i="9"/>
  <c r="E136" i="9"/>
  <c r="C136" i="9"/>
  <c r="B136" i="9"/>
  <c r="E135" i="9"/>
  <c r="C135" i="9"/>
  <c r="B135" i="9"/>
  <c r="E134" i="9"/>
  <c r="C134" i="9"/>
  <c r="B134" i="9"/>
  <c r="E133" i="9"/>
  <c r="C133" i="9"/>
  <c r="B133" i="9"/>
  <c r="E132" i="9"/>
  <c r="C132" i="9"/>
  <c r="B132" i="9"/>
  <c r="E131" i="9"/>
  <c r="C131" i="9"/>
  <c r="B131" i="9"/>
  <c r="E130" i="9"/>
  <c r="C130" i="9"/>
  <c r="B130" i="9"/>
  <c r="E129" i="9"/>
  <c r="C129" i="9"/>
  <c r="B129" i="9"/>
  <c r="E128" i="9"/>
  <c r="C128" i="9"/>
  <c r="B128" i="9"/>
  <c r="E127" i="9"/>
  <c r="C127" i="9"/>
  <c r="B127" i="9"/>
  <c r="E126" i="9"/>
  <c r="C126" i="9"/>
  <c r="B126" i="9"/>
  <c r="E125" i="9"/>
  <c r="C125" i="9"/>
  <c r="B125" i="9"/>
  <c r="E124" i="9"/>
  <c r="C124" i="9"/>
  <c r="B124" i="9"/>
  <c r="E123" i="9"/>
  <c r="C123" i="9"/>
  <c r="B123" i="9"/>
  <c r="C12" i="10" s="1"/>
  <c r="E122" i="9"/>
  <c r="C122" i="9"/>
  <c r="B122" i="9"/>
  <c r="E121" i="9"/>
  <c r="C121" i="9"/>
  <c r="B121" i="9"/>
  <c r="E120" i="9"/>
  <c r="C120" i="9"/>
  <c r="B120" i="9"/>
  <c r="E119" i="9"/>
  <c r="C119" i="9"/>
  <c r="B119" i="9"/>
  <c r="E118" i="9"/>
  <c r="C118" i="9"/>
  <c r="B118" i="9"/>
  <c r="E117" i="9"/>
  <c r="C117" i="9"/>
  <c r="B117" i="9"/>
  <c r="E116" i="9"/>
  <c r="C116" i="9"/>
  <c r="B116" i="9"/>
  <c r="E115" i="9"/>
  <c r="C115" i="9"/>
  <c r="B115" i="9"/>
  <c r="E114" i="9"/>
  <c r="C114" i="9"/>
  <c r="B114" i="9"/>
  <c r="E113" i="9"/>
  <c r="C113" i="9"/>
  <c r="B113" i="9"/>
  <c r="E112" i="9"/>
  <c r="C112" i="9"/>
  <c r="B112" i="9"/>
  <c r="E111" i="9"/>
  <c r="C111" i="9"/>
  <c r="B111" i="9"/>
  <c r="E110" i="9"/>
  <c r="C110" i="9"/>
  <c r="B110" i="9"/>
  <c r="E109" i="9"/>
  <c r="C109" i="9"/>
  <c r="B109" i="9"/>
  <c r="E108" i="9"/>
  <c r="C108" i="9"/>
  <c r="B108" i="9"/>
  <c r="C11" i="10" s="1"/>
  <c r="E107" i="9"/>
  <c r="C107" i="9"/>
  <c r="B107" i="9"/>
  <c r="E106" i="9"/>
  <c r="C106" i="9"/>
  <c r="B106" i="9"/>
  <c r="E105" i="9"/>
  <c r="C105" i="9"/>
  <c r="B105" i="9"/>
  <c r="E104" i="9"/>
  <c r="C104" i="9"/>
  <c r="B104" i="9"/>
  <c r="E103" i="9"/>
  <c r="C103" i="9"/>
  <c r="B103" i="9"/>
  <c r="E102" i="9"/>
  <c r="C102" i="9"/>
  <c r="B102" i="9"/>
  <c r="E101" i="9"/>
  <c r="C101" i="9"/>
  <c r="B101" i="9"/>
  <c r="E100" i="9"/>
  <c r="C100" i="9"/>
  <c r="B100" i="9"/>
  <c r="E99" i="9"/>
  <c r="C99" i="9"/>
  <c r="B99" i="9"/>
  <c r="E98" i="9"/>
  <c r="C98" i="9"/>
  <c r="B98" i="9"/>
  <c r="E97" i="9"/>
  <c r="C97" i="9"/>
  <c r="B97" i="9"/>
  <c r="E96" i="9"/>
  <c r="C96" i="9"/>
  <c r="B96" i="9"/>
  <c r="E95" i="9"/>
  <c r="C95" i="9"/>
  <c r="B95" i="9"/>
  <c r="E94" i="9"/>
  <c r="C94" i="9"/>
  <c r="B94" i="9"/>
  <c r="E93" i="9"/>
  <c r="C93" i="9"/>
  <c r="B93" i="9"/>
  <c r="C10" i="10" s="1"/>
  <c r="E92" i="9"/>
  <c r="C92" i="9"/>
  <c r="B92" i="9"/>
  <c r="E91" i="9"/>
  <c r="C91" i="9"/>
  <c r="B91" i="9"/>
  <c r="E90" i="9"/>
  <c r="C90" i="9"/>
  <c r="B90" i="9"/>
  <c r="E89" i="9"/>
  <c r="C89" i="9"/>
  <c r="B89" i="9"/>
  <c r="E88" i="9"/>
  <c r="C88" i="9"/>
  <c r="B88" i="9"/>
  <c r="E87" i="9"/>
  <c r="C87" i="9"/>
  <c r="B87" i="9"/>
  <c r="E86" i="9"/>
  <c r="C86" i="9"/>
  <c r="B86" i="9"/>
  <c r="E85" i="9"/>
  <c r="C85" i="9"/>
  <c r="B85" i="9"/>
  <c r="E84" i="9"/>
  <c r="C84" i="9"/>
  <c r="B84" i="9"/>
  <c r="E83" i="9"/>
  <c r="C83" i="9"/>
  <c r="B83" i="9"/>
  <c r="E82" i="9"/>
  <c r="C82" i="9"/>
  <c r="B82" i="9"/>
  <c r="E81" i="9"/>
  <c r="C81" i="9"/>
  <c r="B81" i="9"/>
  <c r="E80" i="9"/>
  <c r="C80" i="9"/>
  <c r="B80" i="9"/>
  <c r="E79" i="9"/>
  <c r="C79" i="9"/>
  <c r="B79" i="9"/>
  <c r="E78" i="9"/>
  <c r="C78" i="9"/>
  <c r="B78" i="9"/>
  <c r="C9" i="10" s="1"/>
  <c r="E77" i="9"/>
  <c r="C77" i="9"/>
  <c r="B77" i="9"/>
  <c r="E76" i="9"/>
  <c r="C76" i="9"/>
  <c r="B76" i="9"/>
  <c r="E75" i="9"/>
  <c r="C75" i="9"/>
  <c r="B75" i="9"/>
  <c r="E74" i="9"/>
  <c r="C74" i="9"/>
  <c r="B74" i="9"/>
  <c r="E73" i="9"/>
  <c r="C73" i="9"/>
  <c r="B73" i="9"/>
  <c r="E72" i="9"/>
  <c r="C72" i="9"/>
  <c r="B72" i="9"/>
  <c r="E71" i="9"/>
  <c r="C71" i="9"/>
  <c r="B71" i="9"/>
  <c r="E70" i="9"/>
  <c r="C70" i="9"/>
  <c r="B70" i="9"/>
  <c r="E69" i="9"/>
  <c r="C69" i="9"/>
  <c r="B69" i="9"/>
  <c r="E68" i="9"/>
  <c r="C68" i="9"/>
  <c r="B68" i="9"/>
  <c r="E67" i="9"/>
  <c r="C67" i="9"/>
  <c r="B67" i="9"/>
  <c r="E66" i="9"/>
  <c r="C66" i="9"/>
  <c r="B66" i="9"/>
  <c r="E65" i="9"/>
  <c r="C65" i="9"/>
  <c r="B65" i="9"/>
  <c r="E64" i="9"/>
  <c r="C64" i="9"/>
  <c r="B64" i="9"/>
  <c r="E63" i="9"/>
  <c r="C63" i="9"/>
  <c r="B63" i="9"/>
  <c r="C8" i="10" s="1"/>
  <c r="E62" i="9"/>
  <c r="C62" i="9"/>
  <c r="B62" i="9"/>
  <c r="E61" i="9"/>
  <c r="C61" i="9"/>
  <c r="B61" i="9"/>
  <c r="E60" i="9"/>
  <c r="C60" i="9"/>
  <c r="B60" i="9"/>
  <c r="E59" i="9"/>
  <c r="C59" i="9"/>
  <c r="B59" i="9"/>
  <c r="E58" i="9"/>
  <c r="C58" i="9"/>
  <c r="B58" i="9"/>
  <c r="E57" i="9"/>
  <c r="C57" i="9"/>
  <c r="B57" i="9"/>
  <c r="E56" i="9"/>
  <c r="C56" i="9"/>
  <c r="B56" i="9"/>
  <c r="E55" i="9"/>
  <c r="C55" i="9"/>
  <c r="B55" i="9"/>
  <c r="E54" i="9"/>
  <c r="C54" i="9"/>
  <c r="B54" i="9"/>
  <c r="E53" i="9"/>
  <c r="C53" i="9"/>
  <c r="B53" i="9"/>
  <c r="E52" i="9"/>
  <c r="C52" i="9"/>
  <c r="B52" i="9"/>
  <c r="E51" i="9"/>
  <c r="C51" i="9"/>
  <c r="B51" i="9"/>
  <c r="E50" i="9"/>
  <c r="C50" i="9"/>
  <c r="B50" i="9"/>
  <c r="E49" i="9"/>
  <c r="C49" i="9"/>
  <c r="B49" i="9"/>
  <c r="E48" i="9"/>
  <c r="C48" i="9"/>
  <c r="B48" i="9"/>
  <c r="C7" i="10" s="1"/>
  <c r="E47" i="9"/>
  <c r="C47" i="9"/>
  <c r="B47" i="9"/>
  <c r="E46" i="9"/>
  <c r="C46" i="9"/>
  <c r="B46" i="9"/>
  <c r="E45" i="9"/>
  <c r="C45" i="9"/>
  <c r="B45" i="9"/>
  <c r="E44" i="9"/>
  <c r="C44" i="9"/>
  <c r="B44" i="9"/>
  <c r="E43" i="9"/>
  <c r="C43" i="9"/>
  <c r="B43" i="9"/>
  <c r="E42" i="9"/>
  <c r="C42" i="9"/>
  <c r="B42" i="9"/>
  <c r="E41" i="9"/>
  <c r="C41" i="9"/>
  <c r="B41" i="9"/>
  <c r="E40" i="9"/>
  <c r="C40" i="9"/>
  <c r="B40" i="9"/>
  <c r="E39" i="9"/>
  <c r="C39" i="9"/>
  <c r="B39" i="9"/>
  <c r="E38" i="9"/>
  <c r="C38" i="9"/>
  <c r="B38" i="9"/>
  <c r="E37" i="9"/>
  <c r="C37" i="9"/>
  <c r="B37" i="9"/>
  <c r="E36" i="9"/>
  <c r="C36" i="9"/>
  <c r="B36" i="9"/>
  <c r="E35" i="9"/>
  <c r="C35" i="9"/>
  <c r="B35" i="9"/>
  <c r="E34" i="9"/>
  <c r="C34" i="9"/>
  <c r="B34" i="9"/>
  <c r="E33" i="9"/>
  <c r="C33" i="9"/>
  <c r="B33" i="9"/>
  <c r="C6" i="10" s="1"/>
  <c r="E32" i="9"/>
  <c r="C32" i="9"/>
  <c r="B32" i="9"/>
  <c r="E31" i="9"/>
  <c r="C31" i="9"/>
  <c r="B31" i="9"/>
  <c r="E30" i="9"/>
  <c r="C30" i="9"/>
  <c r="B30" i="9"/>
  <c r="E29" i="9"/>
  <c r="C29" i="9"/>
  <c r="B29" i="9"/>
  <c r="E28" i="9"/>
  <c r="C28" i="9"/>
  <c r="B28" i="9"/>
  <c r="E27" i="9"/>
  <c r="C27" i="9"/>
  <c r="B27" i="9"/>
  <c r="E26" i="9"/>
  <c r="C26" i="9"/>
  <c r="B26" i="9"/>
  <c r="E25" i="9"/>
  <c r="C25" i="9"/>
  <c r="B25" i="9"/>
  <c r="E24" i="9"/>
  <c r="C24" i="9"/>
  <c r="B24" i="9"/>
  <c r="E23" i="9"/>
  <c r="C23" i="9"/>
  <c r="B23" i="9"/>
  <c r="E22" i="9"/>
  <c r="C22" i="9"/>
  <c r="B22" i="9"/>
  <c r="E21" i="9"/>
  <c r="C21" i="9"/>
  <c r="B21" i="9"/>
  <c r="E20" i="9"/>
  <c r="C20" i="9"/>
  <c r="B20" i="9"/>
  <c r="E19" i="9"/>
  <c r="C19" i="9"/>
  <c r="B19" i="9"/>
  <c r="E18" i="9"/>
  <c r="C18" i="9"/>
  <c r="B18" i="9"/>
  <c r="C5" i="10" s="1"/>
  <c r="E17" i="9"/>
  <c r="C17" i="9"/>
  <c r="B17" i="9"/>
  <c r="E16" i="9"/>
  <c r="C16" i="9"/>
  <c r="B16" i="9"/>
  <c r="E15" i="9"/>
  <c r="C15" i="9"/>
  <c r="B15" i="9"/>
  <c r="E14" i="9"/>
  <c r="C14" i="9"/>
  <c r="B14" i="9"/>
  <c r="E13" i="9"/>
  <c r="C13" i="9"/>
  <c r="B13" i="9"/>
  <c r="E12" i="9"/>
  <c r="C12" i="9"/>
  <c r="B12" i="9"/>
  <c r="E11" i="9"/>
  <c r="C11" i="9"/>
  <c r="B11" i="9"/>
  <c r="E10" i="9"/>
  <c r="C10" i="9"/>
  <c r="B10" i="9"/>
  <c r="E9" i="9"/>
  <c r="C9" i="9"/>
  <c r="B9" i="9"/>
  <c r="E8" i="9"/>
  <c r="C8" i="9"/>
  <c r="B8" i="9"/>
  <c r="E7" i="9"/>
  <c r="C7" i="9"/>
  <c r="B7" i="9"/>
  <c r="E6" i="9"/>
  <c r="C6" i="9"/>
  <c r="B6" i="9"/>
  <c r="E5" i="9"/>
  <c r="C5" i="9"/>
  <c r="B5" i="9"/>
  <c r="E4" i="9"/>
  <c r="C4" i="9"/>
  <c r="B4" i="9"/>
  <c r="B10" i="8"/>
  <c r="J7" i="9"/>
  <c r="E158" i="7"/>
  <c r="D158" i="7"/>
  <c r="E157" i="7"/>
  <c r="D157" i="7"/>
  <c r="E156" i="7"/>
  <c r="D156" i="7"/>
  <c r="E155" i="7"/>
  <c r="D155" i="7"/>
  <c r="E154" i="7"/>
  <c r="D154" i="7"/>
  <c r="E153" i="7"/>
  <c r="D153" i="7"/>
  <c r="E152" i="7"/>
  <c r="D152" i="7"/>
  <c r="E151" i="7"/>
  <c r="D151" i="7"/>
  <c r="E150" i="7"/>
  <c r="D150" i="7"/>
  <c r="E149" i="7"/>
  <c r="D149" i="7"/>
  <c r="E148" i="7"/>
  <c r="D148" i="7"/>
  <c r="E147" i="7"/>
  <c r="D147" i="7"/>
  <c r="E146" i="7"/>
  <c r="D146" i="7"/>
  <c r="E145" i="7"/>
  <c r="D145" i="7"/>
  <c r="E144" i="7"/>
  <c r="D144" i="7"/>
  <c r="E143" i="7"/>
  <c r="D143" i="7"/>
  <c r="E142" i="7"/>
  <c r="D142" i="7"/>
  <c r="E141" i="7"/>
  <c r="D141" i="7"/>
  <c r="E140" i="7"/>
  <c r="D140" i="7"/>
  <c r="E139" i="7"/>
  <c r="D139" i="7"/>
  <c r="E138" i="7"/>
  <c r="D138" i="7"/>
  <c r="E137" i="7"/>
  <c r="D137" i="7"/>
  <c r="E136" i="7"/>
  <c r="D136" i="7"/>
  <c r="E135" i="7"/>
  <c r="D135" i="7"/>
  <c r="E134" i="7"/>
  <c r="D134" i="7"/>
  <c r="E133" i="7"/>
  <c r="D133" i="7"/>
  <c r="E132" i="7"/>
  <c r="D132" i="7"/>
  <c r="E131" i="7"/>
  <c r="D131" i="7"/>
  <c r="E130" i="7"/>
  <c r="D130" i="7"/>
  <c r="E129" i="7"/>
  <c r="D129" i="7"/>
  <c r="E128" i="7"/>
  <c r="D128" i="7"/>
  <c r="E127" i="7"/>
  <c r="D127" i="7"/>
  <c r="E126" i="7"/>
  <c r="D126" i="7"/>
  <c r="E125" i="7"/>
  <c r="D125" i="7"/>
  <c r="E124" i="7"/>
  <c r="D124" i="7"/>
  <c r="E123" i="7"/>
  <c r="D123" i="7"/>
  <c r="E122" i="7"/>
  <c r="D122" i="7"/>
  <c r="E121" i="7"/>
  <c r="D121" i="7"/>
  <c r="E120" i="7"/>
  <c r="D120" i="7"/>
  <c r="E119" i="7"/>
  <c r="D119" i="7"/>
  <c r="E118" i="7"/>
  <c r="D118" i="7"/>
  <c r="E117" i="7"/>
  <c r="D117" i="7"/>
  <c r="E116" i="7"/>
  <c r="D116" i="7"/>
  <c r="E115" i="7"/>
  <c r="D115" i="7"/>
  <c r="E114" i="7"/>
  <c r="D114" i="7"/>
  <c r="E113" i="7"/>
  <c r="D113" i="7"/>
  <c r="E112" i="7"/>
  <c r="D112" i="7"/>
  <c r="E111" i="7"/>
  <c r="D111" i="7"/>
  <c r="E110" i="7"/>
  <c r="D110" i="7"/>
  <c r="E109" i="7"/>
  <c r="D109" i="7"/>
  <c r="E108" i="7"/>
  <c r="D108" i="7"/>
  <c r="E107" i="7"/>
  <c r="D107" i="7"/>
  <c r="E106" i="7"/>
  <c r="D106" i="7"/>
  <c r="E105" i="7"/>
  <c r="D105" i="7"/>
  <c r="E104" i="7"/>
  <c r="D104" i="7"/>
  <c r="E103" i="7"/>
  <c r="D103" i="7"/>
  <c r="E102" i="7"/>
  <c r="D102" i="7"/>
  <c r="E101" i="7"/>
  <c r="D101" i="7"/>
  <c r="E100" i="7"/>
  <c r="D100" i="7"/>
  <c r="E99" i="7"/>
  <c r="D99" i="7"/>
  <c r="E98" i="7"/>
  <c r="D98" i="7"/>
  <c r="E97" i="7"/>
  <c r="D97" i="7"/>
  <c r="E96" i="7"/>
  <c r="D96" i="7"/>
  <c r="E95" i="7"/>
  <c r="D95" i="7"/>
  <c r="E94" i="7"/>
  <c r="D94" i="7"/>
  <c r="E93" i="7"/>
  <c r="D93" i="7"/>
  <c r="E92" i="7"/>
  <c r="D92" i="7"/>
  <c r="E91" i="7"/>
  <c r="D91" i="7"/>
  <c r="E90" i="7"/>
  <c r="D90" i="7"/>
  <c r="E89" i="7"/>
  <c r="D89" i="7"/>
  <c r="E88" i="7"/>
  <c r="D88" i="7"/>
  <c r="E87" i="7"/>
  <c r="D87" i="7"/>
  <c r="E86" i="7"/>
  <c r="D86" i="7"/>
  <c r="E85" i="7"/>
  <c r="D85" i="7"/>
  <c r="E84" i="7"/>
  <c r="D84" i="7"/>
  <c r="E83" i="7"/>
  <c r="D83" i="7"/>
  <c r="E82" i="7"/>
  <c r="D82" i="7"/>
  <c r="E81" i="7"/>
  <c r="D81" i="7"/>
  <c r="E80" i="7"/>
  <c r="D80" i="7"/>
  <c r="E79" i="7"/>
  <c r="D79" i="7"/>
  <c r="E78" i="7"/>
  <c r="D78" i="7"/>
  <c r="E77" i="7"/>
  <c r="D77" i="7"/>
  <c r="E76" i="7"/>
  <c r="D76" i="7"/>
  <c r="E75" i="7"/>
  <c r="D75" i="7"/>
  <c r="E74" i="7"/>
  <c r="D74" i="7"/>
  <c r="E73" i="7"/>
  <c r="D73" i="7"/>
  <c r="E72" i="7"/>
  <c r="D72" i="7"/>
  <c r="E71" i="7"/>
  <c r="D71" i="7"/>
  <c r="E70" i="7"/>
  <c r="D70" i="7"/>
  <c r="E69" i="7"/>
  <c r="D69" i="7"/>
  <c r="E68" i="7"/>
  <c r="D68" i="7"/>
  <c r="E67" i="7"/>
  <c r="D67" i="7"/>
  <c r="E66" i="7"/>
  <c r="D66" i="7"/>
  <c r="E65" i="7"/>
  <c r="D65" i="7"/>
  <c r="E64" i="7"/>
  <c r="D64" i="7"/>
  <c r="E63" i="7"/>
  <c r="D63" i="7"/>
  <c r="E62" i="7"/>
  <c r="D62" i="7"/>
  <c r="E61" i="7"/>
  <c r="D61" i="7"/>
  <c r="E60" i="7"/>
  <c r="D60" i="7"/>
  <c r="E59" i="7"/>
  <c r="D59" i="7"/>
  <c r="E58" i="7"/>
  <c r="D58" i="7"/>
  <c r="E57" i="7"/>
  <c r="D57" i="7"/>
  <c r="E56" i="7"/>
  <c r="D56" i="7"/>
  <c r="E55" i="7"/>
  <c r="D55" i="7"/>
  <c r="E54" i="7"/>
  <c r="D54" i="7"/>
  <c r="E53" i="7"/>
  <c r="D53" i="7"/>
  <c r="E52" i="7"/>
  <c r="D52" i="7"/>
  <c r="E51" i="7"/>
  <c r="D51" i="7"/>
  <c r="E50" i="7"/>
  <c r="D50" i="7"/>
  <c r="E49" i="7"/>
  <c r="D49" i="7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C37" i="7"/>
  <c r="C38" i="7" s="1"/>
  <c r="C39" i="7" s="1"/>
  <c r="C40" i="7" s="1"/>
  <c r="C41" i="7" s="1"/>
  <c r="C42" i="7" s="1"/>
  <c r="C43" i="7" s="1"/>
  <c r="C44" i="7" s="1"/>
  <c r="C45" i="7" s="1"/>
  <c r="C46" i="7" s="1"/>
  <c r="C47" i="7" s="1"/>
  <c r="C48" i="7" s="1"/>
  <c r="C49" i="7" s="1"/>
  <c r="C50" i="7" s="1"/>
  <c r="C51" i="7" s="1"/>
  <c r="C52" i="7" s="1"/>
  <c r="C53" i="7" s="1"/>
  <c r="C54" i="7" s="1"/>
  <c r="C55" i="7" s="1"/>
  <c r="C56" i="7" s="1"/>
  <c r="C57" i="7" s="1"/>
  <c r="C58" i="7" s="1"/>
  <c r="C59" i="7" s="1"/>
  <c r="C60" i="7" s="1"/>
  <c r="C61" i="7" s="1"/>
  <c r="C62" i="7" s="1"/>
  <c r="C63" i="7" s="1"/>
  <c r="C64" i="7" s="1"/>
  <c r="C65" i="7" s="1"/>
  <c r="C66" i="7" s="1"/>
  <c r="C67" i="7" s="1"/>
  <c r="C68" i="7" s="1"/>
  <c r="C69" i="7" s="1"/>
  <c r="C70" i="7" s="1"/>
  <c r="C71" i="7" s="1"/>
  <c r="C72" i="7" s="1"/>
  <c r="C73" i="7" s="1"/>
  <c r="C74" i="7" s="1"/>
  <c r="C75" i="7" s="1"/>
  <c r="C76" i="7" s="1"/>
  <c r="C77" i="7" s="1"/>
  <c r="C78" i="7" s="1"/>
  <c r="C79" i="7" s="1"/>
  <c r="C80" i="7" s="1"/>
  <c r="C81" i="7" s="1"/>
  <c r="C82" i="7" s="1"/>
  <c r="C83" i="7" s="1"/>
  <c r="C84" i="7" s="1"/>
  <c r="C85" i="7" s="1"/>
  <c r="C86" i="7" s="1"/>
  <c r="C87" i="7" s="1"/>
  <c r="C88" i="7" s="1"/>
  <c r="C89" i="7" s="1"/>
  <c r="C90" i="7" s="1"/>
  <c r="C91" i="7" s="1"/>
  <c r="C92" i="7" s="1"/>
  <c r="C93" i="7" s="1"/>
  <c r="C94" i="7" s="1"/>
  <c r="C95" i="7" s="1"/>
  <c r="C96" i="7" s="1"/>
  <c r="C97" i="7" s="1"/>
  <c r="C98" i="7" s="1"/>
  <c r="C99" i="7" s="1"/>
  <c r="C100" i="7" s="1"/>
  <c r="C101" i="7" s="1"/>
  <c r="C102" i="7" s="1"/>
  <c r="C103" i="7" s="1"/>
  <c r="C104" i="7" s="1"/>
  <c r="C105" i="7" s="1"/>
  <c r="C106" i="7" s="1"/>
  <c r="C107" i="7" s="1"/>
  <c r="C108" i="7" s="1"/>
  <c r="C109" i="7" s="1"/>
  <c r="C110" i="7" s="1"/>
  <c r="C111" i="7" s="1"/>
  <c r="C112" i="7" s="1"/>
  <c r="C113" i="7" s="1"/>
  <c r="C114" i="7" s="1"/>
  <c r="C115" i="7" s="1"/>
  <c r="C116" i="7" s="1"/>
  <c r="C117" i="7" s="1"/>
  <c r="C118" i="7" s="1"/>
  <c r="C119" i="7" s="1"/>
  <c r="C120" i="7" s="1"/>
  <c r="C121" i="7" s="1"/>
  <c r="C122" i="7" s="1"/>
  <c r="C123" i="7" s="1"/>
  <c r="C124" i="7" s="1"/>
  <c r="C125" i="7" s="1"/>
  <c r="C126" i="7" s="1"/>
  <c r="C127" i="7" s="1"/>
  <c r="C128" i="7" s="1"/>
  <c r="C129" i="7" s="1"/>
  <c r="C130" i="7" s="1"/>
  <c r="C131" i="7" s="1"/>
  <c r="C132" i="7" s="1"/>
  <c r="C133" i="7" s="1"/>
  <c r="C134" i="7" s="1"/>
  <c r="C135" i="7" s="1"/>
  <c r="C136" i="7" s="1"/>
  <c r="C137" i="7" s="1"/>
  <c r="C138" i="7" s="1"/>
  <c r="C139" i="7" s="1"/>
  <c r="C140" i="7" s="1"/>
  <c r="C141" i="7" s="1"/>
  <c r="C142" i="7" s="1"/>
  <c r="C143" i="7" s="1"/>
  <c r="C144" i="7" s="1"/>
  <c r="C145" i="7" s="1"/>
  <c r="C146" i="7" s="1"/>
  <c r="C147" i="7" s="1"/>
  <c r="C148" i="7" s="1"/>
  <c r="C149" i="7" s="1"/>
  <c r="C150" i="7" s="1"/>
  <c r="C151" i="7" s="1"/>
  <c r="C152" i="7" s="1"/>
  <c r="C153" i="7" s="1"/>
  <c r="C154" i="7" s="1"/>
  <c r="C155" i="7" s="1"/>
  <c r="C156" i="7" s="1"/>
  <c r="C157" i="7" s="1"/>
  <c r="C158" i="7" s="1"/>
  <c r="E163" i="7" s="1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C10" i="7"/>
  <c r="C11" i="7" s="1"/>
  <c r="C12" i="7" s="1"/>
  <c r="C13" i="7" s="1"/>
  <c r="C14" i="7" s="1"/>
  <c r="C15" i="7" s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C32" i="7" s="1"/>
  <c r="C33" i="7" s="1"/>
  <c r="C34" i="7" s="1"/>
  <c r="C35" i="7" s="1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E9" i="7"/>
  <c r="D9" i="7"/>
  <c r="B9" i="7"/>
  <c r="B10" i="7" s="1"/>
  <c r="I6" i="2"/>
  <c r="I148" i="4"/>
  <c r="I147" i="4"/>
  <c r="I146" i="4"/>
  <c r="I145" i="4"/>
  <c r="E25" i="1"/>
  <c r="B8" i="1"/>
  <c r="E7" i="1"/>
  <c r="B7" i="1"/>
  <c r="E6" i="1"/>
  <c r="G4" i="9" l="1"/>
  <c r="I4" i="9" s="1"/>
  <c r="J8" i="9"/>
  <c r="J4" i="9"/>
  <c r="J5" i="9"/>
  <c r="G6" i="9"/>
  <c r="I6" i="9" s="1"/>
  <c r="M6" i="9" s="1"/>
  <c r="N6" i="9" s="1"/>
  <c r="J6" i="9"/>
  <c r="G5" i="9"/>
  <c r="I5" i="9" s="1"/>
  <c r="M5" i="9" s="1"/>
  <c r="N5" i="9" s="1"/>
  <c r="B9" i="1"/>
  <c r="I165" i="7"/>
  <c r="E146" i="4"/>
  <c r="B11" i="7"/>
  <c r="F10" i="7"/>
  <c r="E8" i="1"/>
  <c r="F9" i="7"/>
  <c r="J18" i="9"/>
  <c r="J17" i="9"/>
  <c r="J153" i="9"/>
  <c r="J152" i="9"/>
  <c r="J151" i="9"/>
  <c r="J150" i="9"/>
  <c r="J149" i="9"/>
  <c r="J148" i="9"/>
  <c r="J147" i="9"/>
  <c r="J146" i="9"/>
  <c r="J145" i="9"/>
  <c r="J144" i="9"/>
  <c r="J143" i="9"/>
  <c r="J142" i="9"/>
  <c r="J141" i="9"/>
  <c r="J140" i="9"/>
  <c r="J139" i="9"/>
  <c r="J138" i="9"/>
  <c r="J137" i="9"/>
  <c r="J136" i="9"/>
  <c r="J134" i="9"/>
  <c r="J130" i="9"/>
  <c r="J129" i="9"/>
  <c r="J128" i="9"/>
  <c r="J127" i="9"/>
  <c r="J126" i="9"/>
  <c r="J125" i="9"/>
  <c r="J124" i="9"/>
  <c r="J123" i="9"/>
  <c r="J122" i="9"/>
  <c r="J121" i="9"/>
  <c r="J120" i="9"/>
  <c r="J119" i="9"/>
  <c r="J118" i="9"/>
  <c r="J117" i="9"/>
  <c r="J116" i="9"/>
  <c r="J115" i="9"/>
  <c r="J114" i="9"/>
  <c r="J113" i="9"/>
  <c r="J112" i="9"/>
  <c r="J111" i="9"/>
  <c r="J110" i="9"/>
  <c r="J109" i="9"/>
  <c r="J108" i="9"/>
  <c r="J107" i="9"/>
  <c r="J106" i="9"/>
  <c r="J105" i="9"/>
  <c r="J104" i="9"/>
  <c r="J103" i="9"/>
  <c r="J102" i="9"/>
  <c r="J101" i="9"/>
  <c r="J100" i="9"/>
  <c r="J99" i="9"/>
  <c r="J98" i="9"/>
  <c r="J97" i="9"/>
  <c r="J96" i="9"/>
  <c r="J95" i="9"/>
  <c r="J94" i="9"/>
  <c r="J93" i="9"/>
  <c r="J92" i="9"/>
  <c r="J91" i="9"/>
  <c r="J90" i="9"/>
  <c r="J131" i="9"/>
  <c r="J135" i="9"/>
  <c r="J132" i="9"/>
  <c r="J89" i="9"/>
  <c r="J85" i="9"/>
  <c r="J81" i="9"/>
  <c r="J88" i="9"/>
  <c r="J84" i="9"/>
  <c r="J133" i="9"/>
  <c r="J87" i="9"/>
  <c r="J83" i="9"/>
  <c r="J86" i="9"/>
  <c r="J82" i="9"/>
  <c r="J80" i="9"/>
  <c r="J79" i="9"/>
  <c r="J78" i="9"/>
  <c r="J77" i="9"/>
  <c r="J76" i="9"/>
  <c r="J75" i="9"/>
  <c r="J74" i="9"/>
  <c r="J73" i="9"/>
  <c r="J72" i="9"/>
  <c r="J71" i="9"/>
  <c r="J70" i="9"/>
  <c r="J69" i="9"/>
  <c r="J68" i="9"/>
  <c r="J67" i="9"/>
  <c r="J66" i="9"/>
  <c r="J65" i="9"/>
  <c r="J64" i="9"/>
  <c r="J63" i="9"/>
  <c r="J62" i="9"/>
  <c r="J61" i="9"/>
  <c r="J60" i="9"/>
  <c r="J59" i="9"/>
  <c r="J58" i="9"/>
  <c r="J57" i="9"/>
  <c r="J56" i="9"/>
  <c r="J55" i="9"/>
  <c r="J54" i="9"/>
  <c r="J53" i="9"/>
  <c r="J52" i="9"/>
  <c r="J51" i="9"/>
  <c r="J49" i="9"/>
  <c r="J47" i="9"/>
  <c r="J45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50" i="9"/>
  <c r="J48" i="9"/>
  <c r="J46" i="9"/>
  <c r="J43" i="9"/>
  <c r="J42" i="9"/>
  <c r="J44" i="9"/>
  <c r="J9" i="9"/>
  <c r="J10" i="9"/>
  <c r="J11" i="9"/>
  <c r="J12" i="9"/>
  <c r="J13" i="9"/>
  <c r="J14" i="9"/>
  <c r="J15" i="9"/>
  <c r="J16" i="9"/>
  <c r="K4" i="9" l="1"/>
  <c r="L4" i="9" s="1"/>
  <c r="G4" i="10"/>
  <c r="H4" i="10" s="1"/>
  <c r="M4" i="9"/>
  <c r="O6" i="9" s="1"/>
  <c r="K6" i="9"/>
  <c r="K5" i="9"/>
  <c r="H10" i="7"/>
  <c r="G10" i="7"/>
  <c r="H9" i="7"/>
  <c r="G9" i="7"/>
  <c r="B12" i="7"/>
  <c r="F11" i="7"/>
  <c r="G7" i="9"/>
  <c r="I7" i="9" s="1"/>
  <c r="M7" i="9" s="1"/>
  <c r="N7" i="9" s="1"/>
  <c r="B10" i="1"/>
  <c r="E9" i="1"/>
  <c r="L6" i="9" l="1"/>
  <c r="O5" i="9"/>
  <c r="O4" i="9"/>
  <c r="N4" i="9"/>
  <c r="L5" i="9"/>
  <c r="H11" i="7"/>
  <c r="G11" i="7"/>
  <c r="G8" i="9"/>
  <c r="I8" i="9" s="1"/>
  <c r="M8" i="9" s="1"/>
  <c r="N8" i="9" s="1"/>
  <c r="E10" i="1"/>
  <c r="B11" i="1"/>
  <c r="B13" i="7"/>
  <c r="F12" i="7"/>
  <c r="K7" i="9"/>
  <c r="O7" i="9" l="1"/>
  <c r="H12" i="7"/>
  <c r="G12" i="7"/>
  <c r="K8" i="9"/>
  <c r="L8" i="9" s="1"/>
  <c r="B14" i="7"/>
  <c r="F13" i="7"/>
  <c r="L7" i="9"/>
  <c r="G9" i="9"/>
  <c r="I9" i="9" s="1"/>
  <c r="M9" i="9" s="1"/>
  <c r="N9" i="9" s="1"/>
  <c r="B12" i="1"/>
  <c r="E11" i="1"/>
  <c r="O8" i="9" l="1"/>
  <c r="H13" i="7"/>
  <c r="G13" i="7"/>
  <c r="K9" i="9"/>
  <c r="B15" i="7"/>
  <c r="F14" i="7"/>
  <c r="G10" i="9"/>
  <c r="I10" i="9" s="1"/>
  <c r="M10" i="9" s="1"/>
  <c r="N10" i="9" s="1"/>
  <c r="E12" i="1"/>
  <c r="B13" i="1"/>
  <c r="L9" i="9" l="1"/>
  <c r="G11" i="9"/>
  <c r="I11" i="9" s="1"/>
  <c r="M11" i="9" s="1"/>
  <c r="N11" i="9" s="1"/>
  <c r="B14" i="1"/>
  <c r="E13" i="1"/>
  <c r="K10" i="9"/>
  <c r="L10" i="9" s="1"/>
  <c r="H14" i="7"/>
  <c r="G14" i="7"/>
  <c r="B16" i="7"/>
  <c r="F15" i="7"/>
  <c r="O9" i="9"/>
  <c r="O10" i="9" l="1"/>
  <c r="G12" i="9"/>
  <c r="I12" i="9" s="1"/>
  <c r="M12" i="9" s="1"/>
  <c r="N12" i="9" s="1"/>
  <c r="E14" i="1"/>
  <c r="B15" i="1"/>
  <c r="H15" i="7"/>
  <c r="G15" i="7"/>
  <c r="K11" i="9"/>
  <c r="B17" i="7"/>
  <c r="F16" i="7"/>
  <c r="B18" i="7" l="1"/>
  <c r="F17" i="7"/>
  <c r="O11" i="9"/>
  <c r="H16" i="7"/>
  <c r="G16" i="7"/>
  <c r="G13" i="9"/>
  <c r="I13" i="9" s="1"/>
  <c r="M13" i="9" s="1"/>
  <c r="N13" i="9" s="1"/>
  <c r="B16" i="1"/>
  <c r="E15" i="1"/>
  <c r="L11" i="9"/>
  <c r="K12" i="9"/>
  <c r="O12" i="9" l="1"/>
  <c r="K13" i="9"/>
  <c r="L12" i="9"/>
  <c r="H17" i="7"/>
  <c r="G17" i="7"/>
  <c r="G14" i="9"/>
  <c r="I14" i="9" s="1"/>
  <c r="M14" i="9" s="1"/>
  <c r="N14" i="9" s="1"/>
  <c r="E16" i="1"/>
  <c r="B17" i="1"/>
  <c r="B19" i="7"/>
  <c r="F18" i="7"/>
  <c r="O13" i="9" l="1"/>
  <c r="B20" i="7"/>
  <c r="F19" i="7"/>
  <c r="G15" i="9"/>
  <c r="I15" i="9" s="1"/>
  <c r="M15" i="9" s="1"/>
  <c r="N15" i="9" s="1"/>
  <c r="B18" i="1"/>
  <c r="E17" i="1"/>
  <c r="L13" i="9"/>
  <c r="H18" i="7"/>
  <c r="G18" i="7"/>
  <c r="K14" i="9"/>
  <c r="L14" i="9" s="1"/>
  <c r="I4" i="10" s="1"/>
  <c r="J4" i="10" s="1"/>
  <c r="O14" i="9" l="1"/>
  <c r="K15" i="9"/>
  <c r="L15" i="9" s="1"/>
  <c r="H19" i="7"/>
  <c r="G19" i="7"/>
  <c r="G16" i="9"/>
  <c r="I16" i="9" s="1"/>
  <c r="M16" i="9" s="1"/>
  <c r="N16" i="9" s="1"/>
  <c r="E18" i="1"/>
  <c r="B19" i="1"/>
  <c r="B21" i="7"/>
  <c r="F20" i="7"/>
  <c r="O15" i="9" l="1"/>
  <c r="B22" i="7"/>
  <c r="F21" i="7"/>
  <c r="G17" i="9"/>
  <c r="I17" i="9" s="1"/>
  <c r="M17" i="9" s="1"/>
  <c r="N17" i="9" s="1"/>
  <c r="B20" i="1"/>
  <c r="E19" i="1"/>
  <c r="H20" i="7"/>
  <c r="G20" i="7"/>
  <c r="K16" i="9"/>
  <c r="L16" i="9" s="1"/>
  <c r="O16" i="9" l="1"/>
  <c r="E20" i="1"/>
  <c r="B6" i="4"/>
  <c r="E28" i="1"/>
  <c r="E30" i="1" s="1"/>
  <c r="K17" i="9"/>
  <c r="L17" i="9" s="1"/>
  <c r="H21" i="7"/>
  <c r="G21" i="7"/>
  <c r="B23" i="7"/>
  <c r="F22" i="7"/>
  <c r="O17" i="9" l="1"/>
  <c r="G19" i="9"/>
  <c r="I19" i="9" s="1"/>
  <c r="M19" i="9" s="1"/>
  <c r="N19" i="9" s="1"/>
  <c r="E6" i="4"/>
  <c r="B7" i="4"/>
  <c r="H22" i="7"/>
  <c r="G22" i="7"/>
  <c r="E22" i="1"/>
  <c r="E23" i="1"/>
  <c r="B24" i="7"/>
  <c r="F23" i="7"/>
  <c r="D5" i="10"/>
  <c r="G18" i="9"/>
  <c r="I18" i="9" s="1"/>
  <c r="G5" i="10" l="1"/>
  <c r="H5" i="10" s="1"/>
  <c r="M18" i="9"/>
  <c r="N18" i="9" s="1"/>
  <c r="B25" i="7"/>
  <c r="I24" i="7"/>
  <c r="K18" i="9"/>
  <c r="B8" i="11"/>
  <c r="G20" i="9"/>
  <c r="I20" i="9" s="1"/>
  <c r="M20" i="9" s="1"/>
  <c r="N20" i="9" s="1"/>
  <c r="E7" i="4"/>
  <c r="B8" i="4"/>
  <c r="C6" i="2"/>
  <c r="E27" i="1"/>
  <c r="H162" i="7"/>
  <c r="H163" i="7" s="1"/>
  <c r="G23" i="7"/>
  <c r="G162" i="7" s="1"/>
  <c r="G163" i="7" s="1"/>
  <c r="K19" i="9"/>
  <c r="B18" i="11" l="1"/>
  <c r="B19" i="11"/>
  <c r="O18" i="9"/>
  <c r="O19" i="9"/>
  <c r="C7" i="2"/>
  <c r="D6" i="2"/>
  <c r="K24" i="7"/>
  <c r="J24" i="7"/>
  <c r="L18" i="9"/>
  <c r="I5" i="10" s="1"/>
  <c r="J5" i="10" s="1"/>
  <c r="B12" i="11"/>
  <c r="K20" i="9"/>
  <c r="L20" i="9" s="1"/>
  <c r="L19" i="9"/>
  <c r="G21" i="9"/>
  <c r="I21" i="9" s="1"/>
  <c r="M21" i="9" s="1"/>
  <c r="N21" i="9" s="1"/>
  <c r="E8" i="4"/>
  <c r="B9" i="4"/>
  <c r="B26" i="7"/>
  <c r="I25" i="7"/>
  <c r="O20" i="9" l="1"/>
  <c r="K25" i="7"/>
  <c r="J25" i="7"/>
  <c r="B27" i="7"/>
  <c r="I26" i="7"/>
  <c r="C8" i="2"/>
  <c r="D7" i="2"/>
  <c r="K21" i="9"/>
  <c r="G22" i="9"/>
  <c r="I22" i="9" s="1"/>
  <c r="M22" i="9" s="1"/>
  <c r="N22" i="9" s="1"/>
  <c r="B10" i="4"/>
  <c r="E9" i="4"/>
  <c r="B28" i="7" l="1"/>
  <c r="I27" i="7"/>
  <c r="G23" i="9"/>
  <c r="I23" i="9" s="1"/>
  <c r="M23" i="9" s="1"/>
  <c r="N23" i="9" s="1"/>
  <c r="E10" i="4"/>
  <c r="B11" i="4"/>
  <c r="O21" i="9"/>
  <c r="K22" i="9"/>
  <c r="L22" i="9" s="1"/>
  <c r="L21" i="9"/>
  <c r="K26" i="7"/>
  <c r="J26" i="7"/>
  <c r="O22" i="9" l="1"/>
  <c r="K27" i="7"/>
  <c r="J27" i="7"/>
  <c r="B29" i="7"/>
  <c r="I28" i="7"/>
  <c r="K23" i="9"/>
  <c r="L23" i="9" s="1"/>
  <c r="G24" i="9"/>
  <c r="I24" i="9" s="1"/>
  <c r="M24" i="9" s="1"/>
  <c r="N24" i="9" s="1"/>
  <c r="E11" i="4"/>
  <c r="B12" i="4"/>
  <c r="O23" i="9" l="1"/>
  <c r="K28" i="7"/>
  <c r="J28" i="7"/>
  <c r="G25" i="9"/>
  <c r="I25" i="9" s="1"/>
  <c r="M25" i="9" s="1"/>
  <c r="N25" i="9" s="1"/>
  <c r="E12" i="4"/>
  <c r="B13" i="4"/>
  <c r="K24" i="9"/>
  <c r="B30" i="7"/>
  <c r="I29" i="7"/>
  <c r="B31" i="7" l="1"/>
  <c r="I30" i="7"/>
  <c r="L24" i="9"/>
  <c r="G26" i="9"/>
  <c r="I26" i="9" s="1"/>
  <c r="M26" i="9" s="1"/>
  <c r="N26" i="9" s="1"/>
  <c r="B14" i="4"/>
  <c r="E13" i="4"/>
  <c r="K29" i="7"/>
  <c r="J29" i="7"/>
  <c r="O24" i="9"/>
  <c r="K25" i="9"/>
  <c r="L25" i="9" s="1"/>
  <c r="K26" i="9" l="1"/>
  <c r="L26" i="9" s="1"/>
  <c r="K30" i="7"/>
  <c r="J30" i="7"/>
  <c r="O25" i="9"/>
  <c r="O26" i="9"/>
  <c r="B32" i="7"/>
  <c r="I31" i="7"/>
  <c r="G27" i="9"/>
  <c r="I27" i="9" s="1"/>
  <c r="M27" i="9" s="1"/>
  <c r="N27" i="9" s="1"/>
  <c r="E14" i="4"/>
  <c r="B15" i="4"/>
  <c r="K27" i="9" l="1"/>
  <c r="L27" i="9" s="1"/>
  <c r="K31" i="7"/>
  <c r="J31" i="7"/>
  <c r="G28" i="9"/>
  <c r="I28" i="9" s="1"/>
  <c r="M28" i="9" s="1"/>
  <c r="N28" i="9" s="1"/>
  <c r="E15" i="4"/>
  <c r="B16" i="4"/>
  <c r="B33" i="7"/>
  <c r="I32" i="7"/>
  <c r="B34" i="7" l="1"/>
  <c r="I33" i="7"/>
  <c r="O27" i="9"/>
  <c r="G29" i="9"/>
  <c r="I29" i="9" s="1"/>
  <c r="M29" i="9" s="1"/>
  <c r="N29" i="9" s="1"/>
  <c r="E16" i="4"/>
  <c r="B17" i="4"/>
  <c r="K32" i="7"/>
  <c r="J32" i="7"/>
  <c r="K28" i="9"/>
  <c r="L28" i="9" s="1"/>
  <c r="O28" i="9" l="1"/>
  <c r="K33" i="7"/>
  <c r="J33" i="7"/>
  <c r="G30" i="9"/>
  <c r="I30" i="9" s="1"/>
  <c r="M30" i="9" s="1"/>
  <c r="N30" i="9" s="1"/>
  <c r="B18" i="4"/>
  <c r="E17" i="4"/>
  <c r="K29" i="9"/>
  <c r="L29" i="9" s="1"/>
  <c r="B35" i="7"/>
  <c r="I34" i="7"/>
  <c r="O29" i="9" l="1"/>
  <c r="K30" i="9"/>
  <c r="L30" i="9" s="1"/>
  <c r="B36" i="7"/>
  <c r="I35" i="7"/>
  <c r="G31" i="9"/>
  <c r="I31" i="9" s="1"/>
  <c r="M31" i="9" s="1"/>
  <c r="N31" i="9" s="1"/>
  <c r="E18" i="4"/>
  <c r="B19" i="4"/>
  <c r="K34" i="7"/>
  <c r="J34" i="7"/>
  <c r="O30" i="9" l="1"/>
  <c r="K35" i="7"/>
  <c r="J35" i="7"/>
  <c r="G32" i="9"/>
  <c r="I32" i="9" s="1"/>
  <c r="M32" i="9" s="1"/>
  <c r="N32" i="9" s="1"/>
  <c r="B20" i="4"/>
  <c r="E19" i="4"/>
  <c r="B37" i="7"/>
  <c r="I36" i="7"/>
  <c r="K31" i="9"/>
  <c r="L31" i="9" s="1"/>
  <c r="O31" i="9" l="1"/>
  <c r="J36" i="7"/>
  <c r="K36" i="7"/>
  <c r="K32" i="9"/>
  <c r="L32" i="9" s="1"/>
  <c r="B38" i="7"/>
  <c r="I37" i="7"/>
  <c r="E20" i="4"/>
  <c r="B21" i="4"/>
  <c r="O32" i="9" l="1"/>
  <c r="J37" i="7"/>
  <c r="K37" i="7"/>
  <c r="D6" i="10"/>
  <c r="G33" i="9"/>
  <c r="I33" i="9" s="1"/>
  <c r="M33" i="9" s="1"/>
  <c r="N33" i="9" s="1"/>
  <c r="G34" i="9"/>
  <c r="I34" i="9" s="1"/>
  <c r="M34" i="9" s="1"/>
  <c r="N34" i="9" s="1"/>
  <c r="E21" i="4"/>
  <c r="B22" i="4"/>
  <c r="B39" i="7"/>
  <c r="I38" i="7"/>
  <c r="B40" i="7" l="1"/>
  <c r="I39" i="7"/>
  <c r="G35" i="9"/>
  <c r="I35" i="9" s="1"/>
  <c r="M35" i="9" s="1"/>
  <c r="N35" i="9" s="1"/>
  <c r="E22" i="4"/>
  <c r="B23" i="4"/>
  <c r="K33" i="9"/>
  <c r="L33" i="9" s="1"/>
  <c r="I6" i="10" s="1"/>
  <c r="J6" i="10" s="1"/>
  <c r="G6" i="10"/>
  <c r="H6" i="10" s="1"/>
  <c r="J38" i="7"/>
  <c r="K38" i="7"/>
  <c r="K34" i="9"/>
  <c r="L34" i="9" l="1"/>
  <c r="O34" i="9"/>
  <c r="O33" i="9"/>
  <c r="J39" i="7"/>
  <c r="K39" i="7"/>
  <c r="K35" i="9"/>
  <c r="L35" i="9" s="1"/>
  <c r="G36" i="9"/>
  <c r="I36" i="9" s="1"/>
  <c r="M36" i="9" s="1"/>
  <c r="N36" i="9" s="1"/>
  <c r="B24" i="4"/>
  <c r="E23" i="4"/>
  <c r="B41" i="7"/>
  <c r="I40" i="7"/>
  <c r="O35" i="9" l="1"/>
  <c r="B42" i="7"/>
  <c r="I41" i="7"/>
  <c r="G37" i="9"/>
  <c r="I37" i="9" s="1"/>
  <c r="M37" i="9" s="1"/>
  <c r="N37" i="9" s="1"/>
  <c r="E24" i="4"/>
  <c r="B25" i="4"/>
  <c r="J40" i="7"/>
  <c r="K40" i="7"/>
  <c r="K36" i="9"/>
  <c r="L36" i="9" s="1"/>
  <c r="O36" i="9" l="1"/>
  <c r="K37" i="9"/>
  <c r="L37" i="9" s="1"/>
  <c r="J41" i="7"/>
  <c r="K41" i="7"/>
  <c r="G38" i="9"/>
  <c r="I38" i="9" s="1"/>
  <c r="M38" i="9" s="1"/>
  <c r="N38" i="9" s="1"/>
  <c r="E25" i="4"/>
  <c r="B26" i="4"/>
  <c r="B43" i="7"/>
  <c r="I42" i="7"/>
  <c r="O37" i="9" l="1"/>
  <c r="B44" i="7"/>
  <c r="I43" i="7"/>
  <c r="G39" i="9"/>
  <c r="I39" i="9" s="1"/>
  <c r="M39" i="9" s="1"/>
  <c r="N39" i="9" s="1"/>
  <c r="E26" i="4"/>
  <c r="B27" i="4"/>
  <c r="J42" i="7"/>
  <c r="K42" i="7"/>
  <c r="K38" i="9"/>
  <c r="L38" i="9" s="1"/>
  <c r="O38" i="9" l="1"/>
  <c r="J43" i="7"/>
  <c r="K43" i="7"/>
  <c r="K39" i="9"/>
  <c r="L39" i="9" s="1"/>
  <c r="G40" i="9"/>
  <c r="I40" i="9" s="1"/>
  <c r="M40" i="9" s="1"/>
  <c r="N40" i="9" s="1"/>
  <c r="B28" i="4"/>
  <c r="E27" i="4"/>
  <c r="B45" i="7"/>
  <c r="I44" i="7"/>
  <c r="O39" i="9" l="1"/>
  <c r="G41" i="9"/>
  <c r="I41" i="9" s="1"/>
  <c r="M41" i="9" s="1"/>
  <c r="N41" i="9" s="1"/>
  <c r="E28" i="4"/>
  <c r="B29" i="4"/>
  <c r="B46" i="7"/>
  <c r="I45" i="7"/>
  <c r="J44" i="7"/>
  <c r="K44" i="7"/>
  <c r="K40" i="9"/>
  <c r="L40" i="9" s="1"/>
  <c r="O40" i="9" l="1"/>
  <c r="B47" i="7"/>
  <c r="I46" i="7"/>
  <c r="G42" i="9"/>
  <c r="I42" i="9" s="1"/>
  <c r="M42" i="9" s="1"/>
  <c r="N42" i="9" s="1"/>
  <c r="E29" i="4"/>
  <c r="B30" i="4"/>
  <c r="J45" i="7"/>
  <c r="K45" i="7"/>
  <c r="K41" i="9"/>
  <c r="L41" i="9" s="1"/>
  <c r="O41" i="9" l="1"/>
  <c r="K42" i="9"/>
  <c r="L42" i="9" s="1"/>
  <c r="J46" i="7"/>
  <c r="K46" i="7"/>
  <c r="G43" i="9"/>
  <c r="I43" i="9" s="1"/>
  <c r="M43" i="9" s="1"/>
  <c r="N43" i="9" s="1"/>
  <c r="E30" i="4"/>
  <c r="B31" i="4"/>
  <c r="B48" i="7"/>
  <c r="I47" i="7"/>
  <c r="O42" i="9" l="1"/>
  <c r="B49" i="7"/>
  <c r="I48" i="7"/>
  <c r="G44" i="9"/>
  <c r="I44" i="9" s="1"/>
  <c r="M44" i="9" s="1"/>
  <c r="N44" i="9" s="1"/>
  <c r="B32" i="4"/>
  <c r="E31" i="4"/>
  <c r="J47" i="7"/>
  <c r="K47" i="7"/>
  <c r="K43" i="9"/>
  <c r="L43" i="9" s="1"/>
  <c r="O43" i="9" l="1"/>
  <c r="G45" i="9"/>
  <c r="I45" i="9" s="1"/>
  <c r="M45" i="9" s="1"/>
  <c r="N45" i="9" s="1"/>
  <c r="E32" i="4"/>
  <c r="B33" i="4"/>
  <c r="K44" i="9"/>
  <c r="L44" i="9" s="1"/>
  <c r="J48" i="7"/>
  <c r="K48" i="7"/>
  <c r="B50" i="7"/>
  <c r="I49" i="7"/>
  <c r="O44" i="9" l="1"/>
  <c r="B51" i="7"/>
  <c r="I50" i="7"/>
  <c r="G46" i="9"/>
  <c r="I46" i="9" s="1"/>
  <c r="M46" i="9" s="1"/>
  <c r="N46" i="9" s="1"/>
  <c r="E33" i="4"/>
  <c r="B34" i="4"/>
  <c r="J49" i="7"/>
  <c r="K49" i="7"/>
  <c r="K45" i="9"/>
  <c r="L45" i="9" s="1"/>
  <c r="O45" i="9" l="1"/>
  <c r="K46" i="9"/>
  <c r="L46" i="9" s="1"/>
  <c r="J50" i="7"/>
  <c r="K50" i="7"/>
  <c r="G47" i="9"/>
  <c r="I47" i="9" s="1"/>
  <c r="M47" i="9" s="1"/>
  <c r="N47" i="9" s="1"/>
  <c r="E34" i="4"/>
  <c r="B35" i="4"/>
  <c r="B52" i="7"/>
  <c r="I51" i="7"/>
  <c r="O46" i="9" l="1"/>
  <c r="B36" i="4"/>
  <c r="E35" i="4"/>
  <c r="B53" i="7"/>
  <c r="I52" i="7"/>
  <c r="J51" i="7"/>
  <c r="K51" i="7"/>
  <c r="K47" i="9"/>
  <c r="L47" i="9" s="1"/>
  <c r="O47" i="9" l="1"/>
  <c r="G49" i="9"/>
  <c r="I49" i="9" s="1"/>
  <c r="M49" i="9" s="1"/>
  <c r="N49" i="9" s="1"/>
  <c r="E36" i="4"/>
  <c r="B37" i="4"/>
  <c r="B54" i="7"/>
  <c r="I53" i="7"/>
  <c r="J52" i="7"/>
  <c r="K52" i="7"/>
  <c r="D7" i="10"/>
  <c r="G48" i="9"/>
  <c r="I48" i="9" s="1"/>
  <c r="M48" i="9" s="1"/>
  <c r="N48" i="9" s="1"/>
  <c r="B55" i="7" l="1"/>
  <c r="I54" i="7"/>
  <c r="G50" i="9"/>
  <c r="I50" i="9" s="1"/>
  <c r="M50" i="9" s="1"/>
  <c r="N50" i="9" s="1"/>
  <c r="E37" i="4"/>
  <c r="B38" i="4"/>
  <c r="K48" i="9"/>
  <c r="L48" i="9" s="1"/>
  <c r="I7" i="10" s="1"/>
  <c r="J7" i="10" s="1"/>
  <c r="G7" i="10"/>
  <c r="H7" i="10" s="1"/>
  <c r="J53" i="7"/>
  <c r="K53" i="7"/>
  <c r="K49" i="9"/>
  <c r="L49" i="9" s="1"/>
  <c r="O49" i="9" l="1"/>
  <c r="O48" i="9"/>
  <c r="K50" i="9"/>
  <c r="L50" i="9" s="1"/>
  <c r="J54" i="7"/>
  <c r="K54" i="7"/>
  <c r="G51" i="9"/>
  <c r="I51" i="9" s="1"/>
  <c r="M51" i="9" s="1"/>
  <c r="N51" i="9" s="1"/>
  <c r="E38" i="4"/>
  <c r="B39" i="4"/>
  <c r="B56" i="7"/>
  <c r="I55" i="7"/>
  <c r="O50" i="9" l="1"/>
  <c r="B57" i="7"/>
  <c r="I56" i="7"/>
  <c r="G52" i="9"/>
  <c r="I52" i="9" s="1"/>
  <c r="M52" i="9" s="1"/>
  <c r="N52" i="9" s="1"/>
  <c r="B40" i="4"/>
  <c r="E39" i="4"/>
  <c r="J55" i="7"/>
  <c r="K55" i="7"/>
  <c r="K51" i="9"/>
  <c r="L51" i="9" s="1"/>
  <c r="O51" i="9" l="1"/>
  <c r="G53" i="9"/>
  <c r="I53" i="9" s="1"/>
  <c r="M53" i="9" s="1"/>
  <c r="N53" i="9" s="1"/>
  <c r="E40" i="4"/>
  <c r="B41" i="4"/>
  <c r="K52" i="9"/>
  <c r="L52" i="9" s="1"/>
  <c r="J56" i="7"/>
  <c r="K56" i="7"/>
  <c r="B58" i="7"/>
  <c r="I57" i="7"/>
  <c r="O52" i="9" l="1"/>
  <c r="G54" i="9"/>
  <c r="I54" i="9" s="1"/>
  <c r="M54" i="9" s="1"/>
  <c r="N54" i="9" s="1"/>
  <c r="E41" i="4"/>
  <c r="B42" i="4"/>
  <c r="B59" i="7"/>
  <c r="I58" i="7"/>
  <c r="J57" i="7"/>
  <c r="K57" i="7"/>
  <c r="K53" i="9"/>
  <c r="L53" i="9" s="1"/>
  <c r="O53" i="9" l="1"/>
  <c r="B60" i="7"/>
  <c r="I59" i="7"/>
  <c r="G55" i="9"/>
  <c r="I55" i="9" s="1"/>
  <c r="M55" i="9" s="1"/>
  <c r="N55" i="9" s="1"/>
  <c r="E42" i="4"/>
  <c r="B43" i="4"/>
  <c r="J58" i="7"/>
  <c r="K58" i="7"/>
  <c r="K54" i="9"/>
  <c r="L54" i="9" s="1"/>
  <c r="O54" i="9" l="1"/>
  <c r="K55" i="9"/>
  <c r="L55" i="9" s="1"/>
  <c r="J59" i="7"/>
  <c r="K59" i="7"/>
  <c r="G56" i="9"/>
  <c r="I56" i="9" s="1"/>
  <c r="M56" i="9" s="1"/>
  <c r="N56" i="9" s="1"/>
  <c r="B44" i="4"/>
  <c r="E43" i="4"/>
  <c r="B61" i="7"/>
  <c r="I60" i="7"/>
  <c r="O55" i="9" l="1"/>
  <c r="B62" i="7"/>
  <c r="I61" i="7"/>
  <c r="G57" i="9"/>
  <c r="I57" i="9" s="1"/>
  <c r="M57" i="9" s="1"/>
  <c r="N57" i="9" s="1"/>
  <c r="E44" i="4"/>
  <c r="B45" i="4"/>
  <c r="J60" i="7"/>
  <c r="K60" i="7"/>
  <c r="K56" i="9"/>
  <c r="L56" i="9" s="1"/>
  <c r="O56" i="9" l="1"/>
  <c r="K57" i="9"/>
  <c r="L57" i="9" s="1"/>
  <c r="J61" i="7"/>
  <c r="K61" i="7"/>
  <c r="G58" i="9"/>
  <c r="I58" i="9" s="1"/>
  <c r="M58" i="9" s="1"/>
  <c r="N58" i="9" s="1"/>
  <c r="E45" i="4"/>
  <c r="B46" i="4"/>
  <c r="B63" i="7"/>
  <c r="I62" i="7"/>
  <c r="O57" i="9" l="1"/>
  <c r="J62" i="7"/>
  <c r="K62" i="7"/>
  <c r="B64" i="7"/>
  <c r="I63" i="7"/>
  <c r="G59" i="9"/>
  <c r="I59" i="9" s="1"/>
  <c r="M59" i="9" s="1"/>
  <c r="N59" i="9" s="1"/>
  <c r="E46" i="4"/>
  <c r="B47" i="4"/>
  <c r="K58" i="9"/>
  <c r="L58" i="9" s="1"/>
  <c r="O58" i="9" l="1"/>
  <c r="J63" i="7"/>
  <c r="K63" i="7"/>
  <c r="G60" i="9"/>
  <c r="I60" i="9" s="1"/>
  <c r="M60" i="9" s="1"/>
  <c r="N60" i="9" s="1"/>
  <c r="B48" i="4"/>
  <c r="E47" i="4"/>
  <c r="B65" i="7"/>
  <c r="I64" i="7"/>
  <c r="K59" i="9"/>
  <c r="L59" i="9" s="1"/>
  <c r="O59" i="9" l="1"/>
  <c r="G61" i="9"/>
  <c r="I61" i="9" s="1"/>
  <c r="M61" i="9" s="1"/>
  <c r="N61" i="9" s="1"/>
  <c r="E48" i="4"/>
  <c r="B49" i="4"/>
  <c r="J64" i="7"/>
  <c r="K64" i="7"/>
  <c r="K60" i="9"/>
  <c r="L60" i="9" s="1"/>
  <c r="B66" i="7"/>
  <c r="I65" i="7"/>
  <c r="O60" i="9" l="1"/>
  <c r="B67" i="7"/>
  <c r="I66" i="7"/>
  <c r="G62" i="9"/>
  <c r="I62" i="9" s="1"/>
  <c r="M62" i="9" s="1"/>
  <c r="N62" i="9" s="1"/>
  <c r="E49" i="4"/>
  <c r="B50" i="4"/>
  <c r="J65" i="7"/>
  <c r="K65" i="7"/>
  <c r="K61" i="9"/>
  <c r="L61" i="9" s="1"/>
  <c r="O61" i="9" l="1"/>
  <c r="K62" i="9"/>
  <c r="L62" i="9" s="1"/>
  <c r="J66" i="7"/>
  <c r="K66" i="7"/>
  <c r="E50" i="4"/>
  <c r="B51" i="4"/>
  <c r="B68" i="7"/>
  <c r="I67" i="7"/>
  <c r="O62" i="9" l="1"/>
  <c r="B69" i="7"/>
  <c r="I68" i="7"/>
  <c r="G64" i="9"/>
  <c r="I64" i="9" s="1"/>
  <c r="M64" i="9" s="1"/>
  <c r="N64" i="9" s="1"/>
  <c r="B52" i="4"/>
  <c r="E51" i="4"/>
  <c r="J67" i="7"/>
  <c r="K67" i="7"/>
  <c r="D8" i="10"/>
  <c r="G63" i="9"/>
  <c r="I63" i="9" s="1"/>
  <c r="M63" i="9" s="1"/>
  <c r="N63" i="9" s="1"/>
  <c r="G65" i="9" l="1"/>
  <c r="I65" i="9" s="1"/>
  <c r="M65" i="9" s="1"/>
  <c r="N65" i="9" s="1"/>
  <c r="E52" i="4"/>
  <c r="B53" i="4"/>
  <c r="K64" i="9"/>
  <c r="J68" i="7"/>
  <c r="K68" i="7"/>
  <c r="K63" i="9"/>
  <c r="L63" i="9" s="1"/>
  <c r="I8" i="10" s="1"/>
  <c r="J8" i="10" s="1"/>
  <c r="G8" i="10"/>
  <c r="H8" i="10" s="1"/>
  <c r="B70" i="7"/>
  <c r="I69" i="7"/>
  <c r="O63" i="9" l="1"/>
  <c r="G66" i="9"/>
  <c r="I66" i="9" s="1"/>
  <c r="M66" i="9" s="1"/>
  <c r="N66" i="9" s="1"/>
  <c r="E53" i="4"/>
  <c r="B54" i="4"/>
  <c r="J69" i="7"/>
  <c r="K69" i="7"/>
  <c r="O64" i="9"/>
  <c r="B71" i="7"/>
  <c r="I70" i="7"/>
  <c r="L64" i="9"/>
  <c r="K65" i="9"/>
  <c r="L65" i="9" s="1"/>
  <c r="O65" i="9" l="1"/>
  <c r="J70" i="7"/>
  <c r="K70" i="7"/>
  <c r="G67" i="9"/>
  <c r="I67" i="9" s="1"/>
  <c r="M67" i="9" s="1"/>
  <c r="N67" i="9" s="1"/>
  <c r="E54" i="4"/>
  <c r="B55" i="4"/>
  <c r="B72" i="7"/>
  <c r="I71" i="7"/>
  <c r="K66" i="9"/>
  <c r="L66" i="9" s="1"/>
  <c r="O66" i="9" l="1"/>
  <c r="J71" i="7"/>
  <c r="K71" i="7"/>
  <c r="K67" i="9"/>
  <c r="L67" i="9" s="1"/>
  <c r="B73" i="7"/>
  <c r="I72" i="7"/>
  <c r="G68" i="9"/>
  <c r="I68" i="9" s="1"/>
  <c r="M68" i="9" s="1"/>
  <c r="N68" i="9" s="1"/>
  <c r="B56" i="4"/>
  <c r="E55" i="4"/>
  <c r="O67" i="9" l="1"/>
  <c r="K68" i="9"/>
  <c r="L68" i="9" s="1"/>
  <c r="G69" i="9"/>
  <c r="I69" i="9" s="1"/>
  <c r="M69" i="9" s="1"/>
  <c r="N69" i="9" s="1"/>
  <c r="E56" i="4"/>
  <c r="B57" i="4"/>
  <c r="J72" i="7"/>
  <c r="K72" i="7"/>
  <c r="B74" i="7"/>
  <c r="I73" i="7"/>
  <c r="O68" i="9" l="1"/>
  <c r="B75" i="7"/>
  <c r="I74" i="7"/>
  <c r="K69" i="9"/>
  <c r="L69" i="9" s="1"/>
  <c r="J73" i="7"/>
  <c r="K73" i="7"/>
  <c r="G70" i="9"/>
  <c r="I70" i="9" s="1"/>
  <c r="M70" i="9" s="1"/>
  <c r="N70" i="9" s="1"/>
  <c r="E57" i="4"/>
  <c r="B58" i="4"/>
  <c r="O69" i="9" l="1"/>
  <c r="K70" i="9"/>
  <c r="L70" i="9" s="1"/>
  <c r="J74" i="7"/>
  <c r="K74" i="7"/>
  <c r="G71" i="9"/>
  <c r="I71" i="9" s="1"/>
  <c r="M71" i="9" s="1"/>
  <c r="N71" i="9" s="1"/>
  <c r="E58" i="4"/>
  <c r="B59" i="4"/>
  <c r="B76" i="7"/>
  <c r="I75" i="7"/>
  <c r="O70" i="9" l="1"/>
  <c r="B77" i="7"/>
  <c r="I76" i="7"/>
  <c r="G72" i="9"/>
  <c r="I72" i="9" s="1"/>
  <c r="M72" i="9" s="1"/>
  <c r="N72" i="9" s="1"/>
  <c r="B60" i="4"/>
  <c r="E59" i="4"/>
  <c r="J75" i="7"/>
  <c r="K75" i="7"/>
  <c r="K71" i="9"/>
  <c r="L71" i="9" s="1"/>
  <c r="O71" i="9" l="1"/>
  <c r="G73" i="9"/>
  <c r="I73" i="9" s="1"/>
  <c r="M73" i="9" s="1"/>
  <c r="N73" i="9" s="1"/>
  <c r="E60" i="4"/>
  <c r="B61" i="4"/>
  <c r="K72" i="9"/>
  <c r="L72" i="9" s="1"/>
  <c r="J76" i="7"/>
  <c r="K76" i="7"/>
  <c r="B78" i="7"/>
  <c r="I77" i="7"/>
  <c r="O72" i="9" l="1"/>
  <c r="B79" i="7"/>
  <c r="I78" i="7"/>
  <c r="G74" i="9"/>
  <c r="I74" i="9" s="1"/>
  <c r="M74" i="9" s="1"/>
  <c r="N74" i="9" s="1"/>
  <c r="E61" i="4"/>
  <c r="B62" i="4"/>
  <c r="J77" i="7"/>
  <c r="K77" i="7"/>
  <c r="K73" i="9"/>
  <c r="L73" i="9" s="1"/>
  <c r="O73" i="9" l="1"/>
  <c r="K74" i="9"/>
  <c r="L74" i="9" s="1"/>
  <c r="J78" i="7"/>
  <c r="K78" i="7"/>
  <c r="G75" i="9"/>
  <c r="I75" i="9" s="1"/>
  <c r="M75" i="9" s="1"/>
  <c r="N75" i="9" s="1"/>
  <c r="E62" i="4"/>
  <c r="B63" i="4"/>
  <c r="B80" i="7"/>
  <c r="I79" i="7"/>
  <c r="O74" i="9" l="1"/>
  <c r="G76" i="9"/>
  <c r="I76" i="9" s="1"/>
  <c r="M76" i="9" s="1"/>
  <c r="N76" i="9" s="1"/>
  <c r="B64" i="4"/>
  <c r="E63" i="4"/>
  <c r="B81" i="7"/>
  <c r="I80" i="7"/>
  <c r="J79" i="7"/>
  <c r="K79" i="7"/>
  <c r="K75" i="9"/>
  <c r="L75" i="9" s="1"/>
  <c r="O75" i="9" l="1"/>
  <c r="B82" i="7"/>
  <c r="I81" i="7"/>
  <c r="G77" i="9"/>
  <c r="I77" i="9" s="1"/>
  <c r="M77" i="9" s="1"/>
  <c r="N77" i="9" s="1"/>
  <c r="E64" i="4"/>
  <c r="B65" i="4"/>
  <c r="J80" i="7"/>
  <c r="K80" i="7"/>
  <c r="K76" i="9"/>
  <c r="L76" i="9" s="1"/>
  <c r="O76" i="9" l="1"/>
  <c r="K77" i="9"/>
  <c r="L77" i="9" s="1"/>
  <c r="J81" i="7"/>
  <c r="K81" i="7"/>
  <c r="E65" i="4"/>
  <c r="B66" i="4"/>
  <c r="B83" i="7"/>
  <c r="I82" i="7"/>
  <c r="O77" i="9" l="1"/>
  <c r="B84" i="7"/>
  <c r="I83" i="7"/>
  <c r="G79" i="9"/>
  <c r="I79" i="9" s="1"/>
  <c r="M79" i="9" s="1"/>
  <c r="N79" i="9" s="1"/>
  <c r="E66" i="4"/>
  <c r="B67" i="4"/>
  <c r="J82" i="7"/>
  <c r="K82" i="7"/>
  <c r="D9" i="10"/>
  <c r="G78" i="9"/>
  <c r="I78" i="9" s="1"/>
  <c r="M78" i="9" s="1"/>
  <c r="N78" i="9" s="1"/>
  <c r="K79" i="9" l="1"/>
  <c r="J83" i="7"/>
  <c r="K83" i="7"/>
  <c r="K78" i="9"/>
  <c r="L78" i="9" s="1"/>
  <c r="I9" i="10" s="1"/>
  <c r="J9" i="10" s="1"/>
  <c r="G9" i="10"/>
  <c r="H9" i="10" s="1"/>
  <c r="G80" i="9"/>
  <c r="I80" i="9" s="1"/>
  <c r="M80" i="9" s="1"/>
  <c r="N80" i="9" s="1"/>
  <c r="B68" i="4"/>
  <c r="E67" i="4"/>
  <c r="B85" i="7"/>
  <c r="I84" i="7"/>
  <c r="O78" i="9" l="1"/>
  <c r="K80" i="9"/>
  <c r="L80" i="9" s="1"/>
  <c r="L79" i="9"/>
  <c r="J84" i="7"/>
  <c r="K84" i="7"/>
  <c r="B86" i="7"/>
  <c r="I85" i="7"/>
  <c r="G81" i="9"/>
  <c r="I81" i="9" s="1"/>
  <c r="M81" i="9" s="1"/>
  <c r="N81" i="9" s="1"/>
  <c r="E68" i="4"/>
  <c r="B69" i="4"/>
  <c r="O79" i="9"/>
  <c r="O80" i="9" l="1"/>
  <c r="K81" i="9"/>
  <c r="L81" i="9" s="1"/>
  <c r="J85" i="7"/>
  <c r="K85" i="7"/>
  <c r="G82" i="9"/>
  <c r="I82" i="9" s="1"/>
  <c r="M82" i="9" s="1"/>
  <c r="N82" i="9" s="1"/>
  <c r="B70" i="4"/>
  <c r="E69" i="4"/>
  <c r="B87" i="7"/>
  <c r="I86" i="7"/>
  <c r="O81" i="9" l="1"/>
  <c r="B88" i="7"/>
  <c r="I87" i="7"/>
  <c r="G83" i="9"/>
  <c r="I83" i="9" s="1"/>
  <c r="M83" i="9" s="1"/>
  <c r="N83" i="9" s="1"/>
  <c r="B71" i="4"/>
  <c r="E70" i="4"/>
  <c r="K86" i="7"/>
  <c r="J86" i="7"/>
  <c r="K82" i="9"/>
  <c r="L82" i="9" s="1"/>
  <c r="O82" i="9" l="1"/>
  <c r="K83" i="9"/>
  <c r="L83" i="9" s="1"/>
  <c r="K87" i="7"/>
  <c r="J87" i="7"/>
  <c r="G84" i="9"/>
  <c r="I84" i="9" s="1"/>
  <c r="M84" i="9" s="1"/>
  <c r="N84" i="9" s="1"/>
  <c r="B72" i="4"/>
  <c r="E71" i="4"/>
  <c r="B89" i="7"/>
  <c r="I88" i="7"/>
  <c r="O83" i="9" l="1"/>
  <c r="G85" i="9"/>
  <c r="I85" i="9" s="1"/>
  <c r="M85" i="9" s="1"/>
  <c r="N85" i="9" s="1"/>
  <c r="B73" i="4"/>
  <c r="E72" i="4"/>
  <c r="B90" i="7"/>
  <c r="I89" i="7"/>
  <c r="J88" i="7"/>
  <c r="K88" i="7"/>
  <c r="K84" i="9"/>
  <c r="L84" i="9" s="1"/>
  <c r="O84" i="9" l="1"/>
  <c r="B91" i="7"/>
  <c r="I90" i="7"/>
  <c r="G86" i="9"/>
  <c r="I86" i="9" s="1"/>
  <c r="M86" i="9" s="1"/>
  <c r="N86" i="9" s="1"/>
  <c r="B74" i="4"/>
  <c r="E73" i="4"/>
  <c r="J89" i="7"/>
  <c r="K89" i="7"/>
  <c r="K85" i="9"/>
  <c r="L85" i="9" s="1"/>
  <c r="O85" i="9" l="1"/>
  <c r="K86" i="9"/>
  <c r="L86" i="9" s="1"/>
  <c r="J90" i="7"/>
  <c r="K90" i="7"/>
  <c r="G87" i="9"/>
  <c r="I87" i="9" s="1"/>
  <c r="M87" i="9" s="1"/>
  <c r="N87" i="9" s="1"/>
  <c r="B75" i="4"/>
  <c r="E74" i="4"/>
  <c r="B92" i="7"/>
  <c r="I91" i="7"/>
  <c r="O86" i="9" l="1"/>
  <c r="B93" i="7"/>
  <c r="I92" i="7"/>
  <c r="G88" i="9"/>
  <c r="I88" i="9" s="1"/>
  <c r="M88" i="9" s="1"/>
  <c r="N88" i="9" s="1"/>
  <c r="B76" i="4"/>
  <c r="E75" i="4"/>
  <c r="J91" i="7"/>
  <c r="K91" i="7"/>
  <c r="K87" i="9"/>
  <c r="L87" i="9" s="1"/>
  <c r="O87" i="9" l="1"/>
  <c r="G89" i="9"/>
  <c r="I89" i="9" s="1"/>
  <c r="M89" i="9" s="1"/>
  <c r="N89" i="9" s="1"/>
  <c r="E76" i="4"/>
  <c r="B77" i="4"/>
  <c r="J92" i="7"/>
  <c r="K92" i="7"/>
  <c r="K88" i="9"/>
  <c r="L88" i="9" s="1"/>
  <c r="B94" i="7"/>
  <c r="I93" i="7"/>
  <c r="O88" i="9" l="1"/>
  <c r="B95" i="7"/>
  <c r="I94" i="7"/>
  <c r="G90" i="9"/>
  <c r="I90" i="9" s="1"/>
  <c r="M90" i="9" s="1"/>
  <c r="N90" i="9" s="1"/>
  <c r="B78" i="4"/>
  <c r="E77" i="4"/>
  <c r="J93" i="7"/>
  <c r="K93" i="7"/>
  <c r="K89" i="9"/>
  <c r="L89" i="9" s="1"/>
  <c r="O89" i="9" l="1"/>
  <c r="G91" i="9"/>
  <c r="I91" i="9" s="1"/>
  <c r="M91" i="9" s="1"/>
  <c r="N91" i="9" s="1"/>
  <c r="B79" i="4"/>
  <c r="E78" i="4"/>
  <c r="K90" i="9"/>
  <c r="L90" i="9" s="1"/>
  <c r="J94" i="7"/>
  <c r="K94" i="7"/>
  <c r="B96" i="7"/>
  <c r="I95" i="7"/>
  <c r="O90" i="9" l="1"/>
  <c r="B97" i="7"/>
  <c r="I96" i="7"/>
  <c r="G92" i="9"/>
  <c r="I92" i="9" s="1"/>
  <c r="M92" i="9" s="1"/>
  <c r="N92" i="9" s="1"/>
  <c r="B80" i="4"/>
  <c r="E79" i="4"/>
  <c r="J95" i="7"/>
  <c r="K95" i="7"/>
  <c r="K91" i="9"/>
  <c r="L91" i="9" s="1"/>
  <c r="O91" i="9" l="1"/>
  <c r="E80" i="4"/>
  <c r="B81" i="4"/>
  <c r="K92" i="9"/>
  <c r="L92" i="9" s="1"/>
  <c r="J96" i="7"/>
  <c r="K96" i="7"/>
  <c r="B98" i="7"/>
  <c r="I97" i="7"/>
  <c r="O92" i="9" l="1"/>
  <c r="B99" i="7"/>
  <c r="I98" i="7"/>
  <c r="G94" i="9"/>
  <c r="I94" i="9" s="1"/>
  <c r="M94" i="9" s="1"/>
  <c r="N94" i="9" s="1"/>
  <c r="B82" i="4"/>
  <c r="E81" i="4"/>
  <c r="J97" i="7"/>
  <c r="K97" i="7"/>
  <c r="D10" i="10"/>
  <c r="G93" i="9"/>
  <c r="I93" i="9" s="1"/>
  <c r="M93" i="9" s="1"/>
  <c r="N93" i="9" s="1"/>
  <c r="G95" i="9" l="1"/>
  <c r="I95" i="9" s="1"/>
  <c r="M95" i="9" s="1"/>
  <c r="N95" i="9" s="1"/>
  <c r="B83" i="4"/>
  <c r="E82" i="4"/>
  <c r="K94" i="9"/>
  <c r="J98" i="7"/>
  <c r="K98" i="7"/>
  <c r="K93" i="9"/>
  <c r="L93" i="9" s="1"/>
  <c r="I10" i="10" s="1"/>
  <c r="J10" i="10" s="1"/>
  <c r="G10" i="10"/>
  <c r="H10" i="10" s="1"/>
  <c r="B100" i="7"/>
  <c r="I99" i="7"/>
  <c r="O93" i="9" l="1"/>
  <c r="O94" i="9"/>
  <c r="J99" i="7"/>
  <c r="K99" i="7"/>
  <c r="B101" i="7"/>
  <c r="I100" i="7"/>
  <c r="G96" i="9"/>
  <c r="I96" i="9" s="1"/>
  <c r="M96" i="9" s="1"/>
  <c r="N96" i="9" s="1"/>
  <c r="B84" i="4"/>
  <c r="E83" i="4"/>
  <c r="L94" i="9"/>
  <c r="K95" i="9"/>
  <c r="L95" i="9" s="1"/>
  <c r="O95" i="9" l="1"/>
  <c r="J100" i="7"/>
  <c r="K100" i="7"/>
  <c r="B102" i="7"/>
  <c r="I101" i="7"/>
  <c r="G97" i="9"/>
  <c r="I97" i="9" s="1"/>
  <c r="M97" i="9" s="1"/>
  <c r="N97" i="9" s="1"/>
  <c r="E84" i="4"/>
  <c r="B85" i="4"/>
  <c r="K96" i="9"/>
  <c r="L96" i="9" s="1"/>
  <c r="O96" i="9" l="1"/>
  <c r="J101" i="7"/>
  <c r="K101" i="7"/>
  <c r="G98" i="9"/>
  <c r="I98" i="9" s="1"/>
  <c r="M98" i="9" s="1"/>
  <c r="N98" i="9" s="1"/>
  <c r="B86" i="4"/>
  <c r="E85" i="4"/>
  <c r="B103" i="7"/>
  <c r="I102" i="7"/>
  <c r="K97" i="9"/>
  <c r="L97" i="9" s="1"/>
  <c r="O97" i="9" l="1"/>
  <c r="J102" i="7"/>
  <c r="K102" i="7"/>
  <c r="K98" i="9"/>
  <c r="L98" i="9" s="1"/>
  <c r="B104" i="7"/>
  <c r="I103" i="7"/>
  <c r="G99" i="9"/>
  <c r="I99" i="9" s="1"/>
  <c r="M99" i="9" s="1"/>
  <c r="N99" i="9" s="1"/>
  <c r="B87" i="4"/>
  <c r="E86" i="4"/>
  <c r="O98" i="9" l="1"/>
  <c r="G100" i="9"/>
  <c r="I100" i="9" s="1"/>
  <c r="M100" i="9" s="1"/>
  <c r="N100" i="9" s="1"/>
  <c r="B88" i="4"/>
  <c r="E87" i="4"/>
  <c r="K99" i="9"/>
  <c r="L99" i="9" s="1"/>
  <c r="J103" i="7"/>
  <c r="K103" i="7"/>
  <c r="B105" i="7"/>
  <c r="I104" i="7"/>
  <c r="O99" i="9" l="1"/>
  <c r="B106" i="7"/>
  <c r="I105" i="7"/>
  <c r="G101" i="9"/>
  <c r="I101" i="9" s="1"/>
  <c r="M101" i="9" s="1"/>
  <c r="N101" i="9" s="1"/>
  <c r="E88" i="4"/>
  <c r="B89" i="4"/>
  <c r="J104" i="7"/>
  <c r="K104" i="7"/>
  <c r="K100" i="9"/>
  <c r="L100" i="9" s="1"/>
  <c r="O100" i="9" l="1"/>
  <c r="J105" i="7"/>
  <c r="K105" i="7"/>
  <c r="K101" i="9"/>
  <c r="L101" i="9" s="1"/>
  <c r="G102" i="9"/>
  <c r="I102" i="9" s="1"/>
  <c r="M102" i="9" s="1"/>
  <c r="N102" i="9" s="1"/>
  <c r="B90" i="4"/>
  <c r="E89" i="4"/>
  <c r="B107" i="7"/>
  <c r="I106" i="7"/>
  <c r="O101" i="9" l="1"/>
  <c r="B108" i="7"/>
  <c r="I107" i="7"/>
  <c r="G103" i="9"/>
  <c r="I103" i="9" s="1"/>
  <c r="M103" i="9" s="1"/>
  <c r="N103" i="9" s="1"/>
  <c r="B91" i="4"/>
  <c r="E90" i="4"/>
  <c r="J106" i="7"/>
  <c r="K106" i="7"/>
  <c r="K102" i="9"/>
  <c r="L102" i="9" s="1"/>
  <c r="O102" i="9" l="1"/>
  <c r="G104" i="9"/>
  <c r="I104" i="9" s="1"/>
  <c r="M104" i="9" s="1"/>
  <c r="N104" i="9" s="1"/>
  <c r="B92" i="4"/>
  <c r="E91" i="4"/>
  <c r="K103" i="9"/>
  <c r="L103" i="9" s="1"/>
  <c r="J107" i="7"/>
  <c r="K107" i="7"/>
  <c r="B109" i="7"/>
  <c r="I108" i="7"/>
  <c r="O103" i="9" l="1"/>
  <c r="G105" i="9"/>
  <c r="I105" i="9" s="1"/>
  <c r="M105" i="9" s="1"/>
  <c r="N105" i="9" s="1"/>
  <c r="E92" i="4"/>
  <c r="B93" i="4"/>
  <c r="B110" i="7"/>
  <c r="I109" i="7"/>
  <c r="J108" i="7"/>
  <c r="K108" i="7"/>
  <c r="K104" i="9"/>
  <c r="L104" i="9" s="1"/>
  <c r="O104" i="9" l="1"/>
  <c r="G106" i="9"/>
  <c r="I106" i="9" s="1"/>
  <c r="M106" i="9" s="1"/>
  <c r="N106" i="9" s="1"/>
  <c r="B94" i="4"/>
  <c r="E93" i="4"/>
  <c r="B111" i="7"/>
  <c r="I110" i="7"/>
  <c r="J109" i="7"/>
  <c r="K109" i="7"/>
  <c r="K105" i="9"/>
  <c r="L105" i="9" s="1"/>
  <c r="O105" i="9" l="1"/>
  <c r="G107" i="9"/>
  <c r="I107" i="9" s="1"/>
  <c r="M107" i="9" s="1"/>
  <c r="N107" i="9" s="1"/>
  <c r="E94" i="4"/>
  <c r="B95" i="4"/>
  <c r="B112" i="7"/>
  <c r="I111" i="7"/>
  <c r="J110" i="7"/>
  <c r="K110" i="7"/>
  <c r="K106" i="9"/>
  <c r="L106" i="9" s="1"/>
  <c r="O106" i="9" l="1"/>
  <c r="B113" i="7"/>
  <c r="I112" i="7"/>
  <c r="B96" i="4"/>
  <c r="E95" i="4"/>
  <c r="J111" i="7"/>
  <c r="K111" i="7"/>
  <c r="K107" i="9"/>
  <c r="L107" i="9" s="1"/>
  <c r="O107" i="9" l="1"/>
  <c r="J112" i="7"/>
  <c r="K112" i="7"/>
  <c r="G109" i="9"/>
  <c r="I109" i="9" s="1"/>
  <c r="M109" i="9" s="1"/>
  <c r="N109" i="9" s="1"/>
  <c r="E96" i="4"/>
  <c r="B97" i="4"/>
  <c r="D11" i="10"/>
  <c r="G108" i="9"/>
  <c r="I108" i="9" s="1"/>
  <c r="M108" i="9" s="1"/>
  <c r="N108" i="9" s="1"/>
  <c r="B114" i="7"/>
  <c r="I113" i="7"/>
  <c r="K108" i="9" l="1"/>
  <c r="L108" i="9" s="1"/>
  <c r="I11" i="10" s="1"/>
  <c r="J11" i="10" s="1"/>
  <c r="G11" i="10"/>
  <c r="H11" i="10" s="1"/>
  <c r="B115" i="7"/>
  <c r="I114" i="7"/>
  <c r="K109" i="9"/>
  <c r="J113" i="7"/>
  <c r="K113" i="7"/>
  <c r="G110" i="9"/>
  <c r="I110" i="9" s="1"/>
  <c r="M110" i="9" s="1"/>
  <c r="N110" i="9" s="1"/>
  <c r="B98" i="4"/>
  <c r="E97" i="4"/>
  <c r="L109" i="9" l="1"/>
  <c r="O109" i="9"/>
  <c r="O108" i="9"/>
  <c r="B116" i="7"/>
  <c r="I115" i="7"/>
  <c r="G111" i="9"/>
  <c r="I111" i="9" s="1"/>
  <c r="M111" i="9" s="1"/>
  <c r="N111" i="9" s="1"/>
  <c r="E98" i="4"/>
  <c r="B99" i="4"/>
  <c r="K110" i="9"/>
  <c r="L110" i="9" s="1"/>
  <c r="J114" i="7"/>
  <c r="K114" i="7"/>
  <c r="O110" i="9" l="1"/>
  <c r="K111" i="9"/>
  <c r="L111" i="9" s="1"/>
  <c r="J115" i="7"/>
  <c r="K115" i="7"/>
  <c r="G112" i="9"/>
  <c r="I112" i="9" s="1"/>
  <c r="M112" i="9" s="1"/>
  <c r="N112" i="9" s="1"/>
  <c r="B100" i="4"/>
  <c r="E99" i="4"/>
  <c r="B117" i="7"/>
  <c r="I116" i="7"/>
  <c r="O111" i="9" l="1"/>
  <c r="G113" i="9"/>
  <c r="I113" i="9" s="1"/>
  <c r="M113" i="9" s="1"/>
  <c r="N113" i="9" s="1"/>
  <c r="E100" i="4"/>
  <c r="B101" i="4"/>
  <c r="B118" i="7"/>
  <c r="I117" i="7"/>
  <c r="J116" i="7"/>
  <c r="K116" i="7"/>
  <c r="K112" i="9"/>
  <c r="L112" i="9" s="1"/>
  <c r="O112" i="9" l="1"/>
  <c r="G114" i="9"/>
  <c r="I114" i="9" s="1"/>
  <c r="M114" i="9" s="1"/>
  <c r="N114" i="9" s="1"/>
  <c r="B102" i="4"/>
  <c r="E101" i="4"/>
  <c r="B119" i="7"/>
  <c r="I118" i="7"/>
  <c r="J117" i="7"/>
  <c r="K117" i="7"/>
  <c r="K113" i="9"/>
  <c r="L113" i="9" s="1"/>
  <c r="O113" i="9" l="1"/>
  <c r="G115" i="9"/>
  <c r="I115" i="9" s="1"/>
  <c r="M115" i="9" s="1"/>
  <c r="N115" i="9" s="1"/>
  <c r="E102" i="4"/>
  <c r="B103" i="4"/>
  <c r="B120" i="7"/>
  <c r="I119" i="7"/>
  <c r="J118" i="7"/>
  <c r="K118" i="7"/>
  <c r="K114" i="9"/>
  <c r="L114" i="9" s="1"/>
  <c r="O114" i="9" l="1"/>
  <c r="B121" i="7"/>
  <c r="I120" i="7"/>
  <c r="G116" i="9"/>
  <c r="I116" i="9" s="1"/>
  <c r="M116" i="9" s="1"/>
  <c r="N116" i="9" s="1"/>
  <c r="B104" i="4"/>
  <c r="E103" i="4"/>
  <c r="J119" i="7"/>
  <c r="K119" i="7"/>
  <c r="K115" i="9"/>
  <c r="L115" i="9" s="1"/>
  <c r="O115" i="9" l="1"/>
  <c r="G117" i="9"/>
  <c r="I117" i="9" s="1"/>
  <c r="M117" i="9" s="1"/>
  <c r="N117" i="9" s="1"/>
  <c r="E104" i="4"/>
  <c r="B105" i="4"/>
  <c r="K116" i="9"/>
  <c r="L116" i="9" s="1"/>
  <c r="J120" i="7"/>
  <c r="K120" i="7"/>
  <c r="B122" i="7"/>
  <c r="I121" i="7"/>
  <c r="O116" i="9" l="1"/>
  <c r="G118" i="9"/>
  <c r="I118" i="9" s="1"/>
  <c r="M118" i="9" s="1"/>
  <c r="N118" i="9" s="1"/>
  <c r="B106" i="4"/>
  <c r="E105" i="4"/>
  <c r="B123" i="7"/>
  <c r="I122" i="7"/>
  <c r="J121" i="7"/>
  <c r="K121" i="7"/>
  <c r="K117" i="9"/>
  <c r="L117" i="9" s="1"/>
  <c r="O117" i="9" l="1"/>
  <c r="B124" i="7"/>
  <c r="I123" i="7"/>
  <c r="G119" i="9"/>
  <c r="I119" i="9" s="1"/>
  <c r="M119" i="9" s="1"/>
  <c r="N119" i="9" s="1"/>
  <c r="E106" i="4"/>
  <c r="B107" i="4"/>
  <c r="J122" i="7"/>
  <c r="K122" i="7"/>
  <c r="K118" i="9"/>
  <c r="L118" i="9" s="1"/>
  <c r="O118" i="9" l="1"/>
  <c r="K119" i="9"/>
  <c r="L119" i="9" s="1"/>
  <c r="J123" i="7"/>
  <c r="K123" i="7"/>
  <c r="G120" i="9"/>
  <c r="I120" i="9" s="1"/>
  <c r="M120" i="9" s="1"/>
  <c r="N120" i="9" s="1"/>
  <c r="B108" i="4"/>
  <c r="E107" i="4"/>
  <c r="B125" i="7"/>
  <c r="I124" i="7"/>
  <c r="O119" i="9" l="1"/>
  <c r="G121" i="9"/>
  <c r="I121" i="9" s="1"/>
  <c r="M121" i="9" s="1"/>
  <c r="N121" i="9" s="1"/>
  <c r="E108" i="4"/>
  <c r="B109" i="4"/>
  <c r="B126" i="7"/>
  <c r="I125" i="7"/>
  <c r="J124" i="7"/>
  <c r="K124" i="7"/>
  <c r="K120" i="9"/>
  <c r="L120" i="9" s="1"/>
  <c r="O120" i="9" l="1"/>
  <c r="B127" i="7"/>
  <c r="I126" i="7"/>
  <c r="G122" i="9"/>
  <c r="I122" i="9" s="1"/>
  <c r="M122" i="9" s="1"/>
  <c r="N122" i="9" s="1"/>
  <c r="B110" i="4"/>
  <c r="E109" i="4"/>
  <c r="J125" i="7"/>
  <c r="K125" i="7"/>
  <c r="K121" i="9"/>
  <c r="L121" i="9" s="1"/>
  <c r="O121" i="9" l="1"/>
  <c r="E110" i="4"/>
  <c r="B111" i="4"/>
  <c r="K122" i="9"/>
  <c r="L122" i="9" s="1"/>
  <c r="J126" i="7"/>
  <c r="K126" i="7"/>
  <c r="B128" i="7"/>
  <c r="I127" i="7"/>
  <c r="O122" i="9" l="1"/>
  <c r="B129" i="7"/>
  <c r="I128" i="7"/>
  <c r="G124" i="9"/>
  <c r="I124" i="9" s="1"/>
  <c r="M124" i="9" s="1"/>
  <c r="N124" i="9" s="1"/>
  <c r="B112" i="4"/>
  <c r="E111" i="4"/>
  <c r="J127" i="7"/>
  <c r="K127" i="7"/>
  <c r="D12" i="10"/>
  <c r="G123" i="9"/>
  <c r="I123" i="9" s="1"/>
  <c r="M123" i="9" s="1"/>
  <c r="N123" i="9" s="1"/>
  <c r="G125" i="9" l="1"/>
  <c r="I125" i="9" s="1"/>
  <c r="M125" i="9" s="1"/>
  <c r="N125" i="9" s="1"/>
  <c r="E112" i="4"/>
  <c r="B113" i="4"/>
  <c r="K124" i="9"/>
  <c r="J128" i="7"/>
  <c r="K128" i="7"/>
  <c r="K123" i="9"/>
  <c r="L123" i="9" s="1"/>
  <c r="I12" i="10" s="1"/>
  <c r="J12" i="10" s="1"/>
  <c r="G12" i="10"/>
  <c r="H12" i="10" s="1"/>
  <c r="B130" i="7"/>
  <c r="I129" i="7"/>
  <c r="O123" i="9" l="1"/>
  <c r="O124" i="9"/>
  <c r="B131" i="7"/>
  <c r="I130" i="7"/>
  <c r="J129" i="7"/>
  <c r="K129" i="7"/>
  <c r="G126" i="9"/>
  <c r="I126" i="9" s="1"/>
  <c r="M126" i="9" s="1"/>
  <c r="N126" i="9" s="1"/>
  <c r="B114" i="4"/>
  <c r="E113" i="4"/>
  <c r="L124" i="9"/>
  <c r="K125" i="9"/>
  <c r="L125" i="9" s="1"/>
  <c r="O125" i="9" l="1"/>
  <c r="G127" i="9"/>
  <c r="I127" i="9" s="1"/>
  <c r="M127" i="9" s="1"/>
  <c r="N127" i="9" s="1"/>
  <c r="E114" i="4"/>
  <c r="B115" i="4"/>
  <c r="J130" i="7"/>
  <c r="K130" i="7"/>
  <c r="K126" i="9"/>
  <c r="L126" i="9" s="1"/>
  <c r="B132" i="7"/>
  <c r="I131" i="7"/>
  <c r="O126" i="9" l="1"/>
  <c r="B133" i="7"/>
  <c r="I132" i="7"/>
  <c r="G128" i="9"/>
  <c r="I128" i="9" s="1"/>
  <c r="M128" i="9" s="1"/>
  <c r="N128" i="9" s="1"/>
  <c r="B116" i="4"/>
  <c r="E115" i="4"/>
  <c r="J131" i="7"/>
  <c r="K131" i="7"/>
  <c r="K127" i="9"/>
  <c r="L127" i="9" s="1"/>
  <c r="O127" i="9" l="1"/>
  <c r="K128" i="9"/>
  <c r="L128" i="9" s="1"/>
  <c r="J132" i="7"/>
  <c r="K132" i="7"/>
  <c r="G129" i="9"/>
  <c r="I129" i="9" s="1"/>
  <c r="M129" i="9" s="1"/>
  <c r="N129" i="9" s="1"/>
  <c r="E116" i="4"/>
  <c r="B117" i="4"/>
  <c r="B134" i="7"/>
  <c r="I133" i="7"/>
  <c r="O128" i="9" l="1"/>
  <c r="G130" i="9"/>
  <c r="I130" i="9" s="1"/>
  <c r="M130" i="9" s="1"/>
  <c r="N130" i="9" s="1"/>
  <c r="B118" i="4"/>
  <c r="E117" i="4"/>
  <c r="B135" i="7"/>
  <c r="I134" i="7"/>
  <c r="J133" i="7"/>
  <c r="K133" i="7"/>
  <c r="K129" i="9"/>
  <c r="L129" i="9" s="1"/>
  <c r="O129" i="9" l="1"/>
  <c r="B136" i="7"/>
  <c r="I135" i="7"/>
  <c r="G131" i="9"/>
  <c r="I131" i="9" s="1"/>
  <c r="M131" i="9" s="1"/>
  <c r="N131" i="9" s="1"/>
  <c r="E118" i="4"/>
  <c r="B119" i="4"/>
  <c r="J134" i="7"/>
  <c r="K134" i="7"/>
  <c r="K130" i="9"/>
  <c r="L130" i="9" s="1"/>
  <c r="O130" i="9" l="1"/>
  <c r="K131" i="9"/>
  <c r="L131" i="9" s="1"/>
  <c r="J135" i="7"/>
  <c r="K135" i="7"/>
  <c r="G132" i="9"/>
  <c r="I132" i="9" s="1"/>
  <c r="M132" i="9" s="1"/>
  <c r="N132" i="9" s="1"/>
  <c r="B120" i="4"/>
  <c r="E119" i="4"/>
  <c r="B137" i="7"/>
  <c r="I136" i="7"/>
  <c r="O131" i="9" l="1"/>
  <c r="G133" i="9"/>
  <c r="I133" i="9" s="1"/>
  <c r="M133" i="9" s="1"/>
  <c r="N133" i="9" s="1"/>
  <c r="E120" i="4"/>
  <c r="B121" i="4"/>
  <c r="B138" i="7"/>
  <c r="I137" i="7"/>
  <c r="J136" i="7"/>
  <c r="K136" i="7"/>
  <c r="K132" i="9"/>
  <c r="L132" i="9" s="1"/>
  <c r="O132" i="9" l="1"/>
  <c r="B139" i="7"/>
  <c r="I138" i="7"/>
  <c r="G134" i="9"/>
  <c r="I134" i="9" s="1"/>
  <c r="M134" i="9" s="1"/>
  <c r="N134" i="9" s="1"/>
  <c r="B122" i="4"/>
  <c r="E121" i="4"/>
  <c r="J137" i="7"/>
  <c r="K137" i="7"/>
  <c r="K133" i="9"/>
  <c r="L133" i="9" s="1"/>
  <c r="O133" i="9" l="1"/>
  <c r="G135" i="9"/>
  <c r="I135" i="9" s="1"/>
  <c r="M135" i="9" s="1"/>
  <c r="N135" i="9" s="1"/>
  <c r="E122" i="4"/>
  <c r="B123" i="4"/>
  <c r="K134" i="9"/>
  <c r="L134" i="9" s="1"/>
  <c r="J138" i="7"/>
  <c r="K138" i="7"/>
  <c r="B140" i="7"/>
  <c r="I139" i="7"/>
  <c r="O134" i="9" l="1"/>
  <c r="B141" i="7"/>
  <c r="I140" i="7"/>
  <c r="G136" i="9"/>
  <c r="I136" i="9" s="1"/>
  <c r="M136" i="9" s="1"/>
  <c r="N136" i="9" s="1"/>
  <c r="B124" i="4"/>
  <c r="E123" i="4"/>
  <c r="J139" i="7"/>
  <c r="K139" i="7"/>
  <c r="K135" i="9"/>
  <c r="L135" i="9" s="1"/>
  <c r="O135" i="9" l="1"/>
  <c r="K136" i="9"/>
  <c r="L136" i="9" s="1"/>
  <c r="J140" i="7"/>
  <c r="K140" i="7"/>
  <c r="G137" i="9"/>
  <c r="I137" i="9" s="1"/>
  <c r="M137" i="9" s="1"/>
  <c r="N137" i="9" s="1"/>
  <c r="E124" i="4"/>
  <c r="B125" i="4"/>
  <c r="B142" i="7"/>
  <c r="I141" i="7"/>
  <c r="O136" i="9" l="1"/>
  <c r="B143" i="7"/>
  <c r="I142" i="7"/>
  <c r="B126" i="4"/>
  <c r="E125" i="4"/>
  <c r="J141" i="7"/>
  <c r="K141" i="7"/>
  <c r="K137" i="9"/>
  <c r="L137" i="9" s="1"/>
  <c r="O137" i="9" l="1"/>
  <c r="G139" i="9"/>
  <c r="I139" i="9" s="1"/>
  <c r="M139" i="9" s="1"/>
  <c r="N139" i="9" s="1"/>
  <c r="E126" i="4"/>
  <c r="B127" i="4"/>
  <c r="D13" i="10"/>
  <c r="G138" i="9"/>
  <c r="I138" i="9" s="1"/>
  <c r="M138" i="9" s="1"/>
  <c r="N138" i="9" s="1"/>
  <c r="J142" i="7"/>
  <c r="K142" i="7"/>
  <c r="B144" i="7"/>
  <c r="I143" i="7"/>
  <c r="G140" i="9" l="1"/>
  <c r="I140" i="9" s="1"/>
  <c r="M140" i="9" s="1"/>
  <c r="N140" i="9" s="1"/>
  <c r="B128" i="4"/>
  <c r="E127" i="4"/>
  <c r="B145" i="7"/>
  <c r="I144" i="7"/>
  <c r="J143" i="7"/>
  <c r="K143" i="7"/>
  <c r="K138" i="9"/>
  <c r="L138" i="9" s="1"/>
  <c r="I13" i="10" s="1"/>
  <c r="J13" i="10" s="1"/>
  <c r="G13" i="10"/>
  <c r="H13" i="10" s="1"/>
  <c r="K139" i="9"/>
  <c r="L139" i="9" l="1"/>
  <c r="O138" i="9"/>
  <c r="O139" i="9"/>
  <c r="G141" i="9"/>
  <c r="I141" i="9" s="1"/>
  <c r="M141" i="9" s="1"/>
  <c r="N141" i="9" s="1"/>
  <c r="E128" i="4"/>
  <c r="B129" i="4"/>
  <c r="B146" i="7"/>
  <c r="I145" i="7"/>
  <c r="J144" i="7"/>
  <c r="K144" i="7"/>
  <c r="K140" i="9"/>
  <c r="L140" i="9" s="1"/>
  <c r="O140" i="9" l="1"/>
  <c r="B147" i="7"/>
  <c r="I146" i="7"/>
  <c r="G142" i="9"/>
  <c r="I142" i="9" s="1"/>
  <c r="M142" i="9" s="1"/>
  <c r="N142" i="9" s="1"/>
  <c r="B130" i="4"/>
  <c r="E129" i="4"/>
  <c r="J145" i="7"/>
  <c r="K145" i="7"/>
  <c r="K141" i="9"/>
  <c r="L141" i="9" s="1"/>
  <c r="O141" i="9" l="1"/>
  <c r="G143" i="9"/>
  <c r="I143" i="9" s="1"/>
  <c r="M143" i="9" s="1"/>
  <c r="N143" i="9" s="1"/>
  <c r="E130" i="4"/>
  <c r="B131" i="4"/>
  <c r="K142" i="9"/>
  <c r="L142" i="9" s="1"/>
  <c r="J146" i="7"/>
  <c r="K146" i="7"/>
  <c r="B148" i="7"/>
  <c r="I147" i="7"/>
  <c r="O142" i="9" l="1"/>
  <c r="G144" i="9"/>
  <c r="I144" i="9" s="1"/>
  <c r="M144" i="9" s="1"/>
  <c r="N144" i="9" s="1"/>
  <c r="B132" i="4"/>
  <c r="E131" i="4"/>
  <c r="B149" i="7"/>
  <c r="I148" i="7"/>
  <c r="J147" i="7"/>
  <c r="K147" i="7"/>
  <c r="K143" i="9"/>
  <c r="L143" i="9" s="1"/>
  <c r="O143" i="9" l="1"/>
  <c r="B150" i="7"/>
  <c r="I149" i="7"/>
  <c r="G145" i="9"/>
  <c r="I145" i="9" s="1"/>
  <c r="M145" i="9" s="1"/>
  <c r="N145" i="9" s="1"/>
  <c r="E132" i="4"/>
  <c r="B133" i="4"/>
  <c r="J148" i="7"/>
  <c r="K148" i="7"/>
  <c r="K144" i="9"/>
  <c r="L144" i="9" s="1"/>
  <c r="O144" i="9" l="1"/>
  <c r="K145" i="9"/>
  <c r="L145" i="9" s="1"/>
  <c r="J149" i="7"/>
  <c r="K149" i="7"/>
  <c r="G146" i="9"/>
  <c r="I146" i="9" s="1"/>
  <c r="M146" i="9" s="1"/>
  <c r="N146" i="9" s="1"/>
  <c r="B134" i="4"/>
  <c r="E133" i="4"/>
  <c r="B151" i="7"/>
  <c r="I150" i="7"/>
  <c r="O145" i="9" l="1"/>
  <c r="G147" i="9"/>
  <c r="I147" i="9" s="1"/>
  <c r="M147" i="9" s="1"/>
  <c r="N147" i="9" s="1"/>
  <c r="E134" i="4"/>
  <c r="B135" i="4"/>
  <c r="B152" i="7"/>
  <c r="I151" i="7"/>
  <c r="J150" i="7"/>
  <c r="K150" i="7"/>
  <c r="K146" i="9"/>
  <c r="L146" i="9" s="1"/>
  <c r="O146" i="9" l="1"/>
  <c r="B153" i="7"/>
  <c r="I152" i="7"/>
  <c r="G148" i="9"/>
  <c r="I148" i="9" s="1"/>
  <c r="M148" i="9" s="1"/>
  <c r="N148" i="9" s="1"/>
  <c r="B136" i="4"/>
  <c r="E135" i="4"/>
  <c r="J151" i="7"/>
  <c r="K151" i="7"/>
  <c r="K147" i="9"/>
  <c r="L147" i="9" s="1"/>
  <c r="O147" i="9" l="1"/>
  <c r="G149" i="9"/>
  <c r="I149" i="9" s="1"/>
  <c r="M149" i="9" s="1"/>
  <c r="N149" i="9" s="1"/>
  <c r="E136" i="4"/>
  <c r="B137" i="4"/>
  <c r="K148" i="9"/>
  <c r="L148" i="9" s="1"/>
  <c r="J152" i="7"/>
  <c r="K152" i="7"/>
  <c r="B154" i="7"/>
  <c r="I153" i="7"/>
  <c r="O148" i="9" l="1"/>
  <c r="G150" i="9"/>
  <c r="I150" i="9" s="1"/>
  <c r="M150" i="9" s="1"/>
  <c r="N150" i="9" s="1"/>
  <c r="B138" i="4"/>
  <c r="E137" i="4"/>
  <c r="B155" i="7"/>
  <c r="I154" i="7"/>
  <c r="J153" i="7"/>
  <c r="K153" i="7"/>
  <c r="K149" i="9"/>
  <c r="L149" i="9" s="1"/>
  <c r="O149" i="9" l="1"/>
  <c r="B156" i="7"/>
  <c r="I155" i="7"/>
  <c r="G151" i="9"/>
  <c r="I151" i="9" s="1"/>
  <c r="M151" i="9" s="1"/>
  <c r="N151" i="9" s="1"/>
  <c r="E138" i="4"/>
  <c r="B139" i="4"/>
  <c r="J154" i="7"/>
  <c r="K154" i="7"/>
  <c r="K150" i="9"/>
  <c r="L150" i="9" s="1"/>
  <c r="O150" i="9" l="1"/>
  <c r="K151" i="9"/>
  <c r="L151" i="9" s="1"/>
  <c r="J155" i="7"/>
  <c r="K155" i="7"/>
  <c r="G152" i="9"/>
  <c r="I152" i="9" s="1"/>
  <c r="M152" i="9" s="1"/>
  <c r="N152" i="9" s="1"/>
  <c r="B140" i="4"/>
  <c r="E139" i="4"/>
  <c r="B157" i="7"/>
  <c r="I156" i="7"/>
  <c r="O151" i="9" l="1"/>
  <c r="E140" i="4"/>
  <c r="E149" i="4"/>
  <c r="E151" i="4" s="1"/>
  <c r="B158" i="7"/>
  <c r="I158" i="7" s="1"/>
  <c r="I157" i="7"/>
  <c r="J156" i="7"/>
  <c r="K156" i="7"/>
  <c r="K152" i="9"/>
  <c r="L152" i="9" s="1"/>
  <c r="O152" i="9" l="1"/>
  <c r="K158" i="7"/>
  <c r="K162" i="7" s="1"/>
  <c r="K163" i="7" s="1"/>
  <c r="E144" i="4"/>
  <c r="E143" i="4"/>
  <c r="J157" i="7"/>
  <c r="J158" i="7" s="1"/>
  <c r="J162" i="7" s="1"/>
  <c r="J163" i="7" s="1"/>
  <c r="J165" i="7" s="1"/>
  <c r="K157" i="7"/>
  <c r="G153" i="9"/>
  <c r="I153" i="9" s="1"/>
  <c r="M153" i="9" s="1"/>
  <c r="N153" i="9" s="1"/>
  <c r="D14" i="10"/>
  <c r="B6" i="11" s="1"/>
  <c r="B7" i="11" s="1"/>
  <c r="B26" i="11" s="1"/>
  <c r="B22" i="11" l="1"/>
  <c r="K153" i="9"/>
  <c r="G14" i="10"/>
  <c r="H14" i="10" s="1"/>
  <c r="B9" i="11"/>
  <c r="E6" i="2"/>
  <c r="E148" i="4"/>
  <c r="B20" i="11" l="1"/>
  <c r="B21" i="11"/>
  <c r="B25" i="11" s="1"/>
  <c r="B28" i="11" s="1"/>
  <c r="B29" i="11" s="1"/>
  <c r="O153" i="9"/>
  <c r="L153" i="9"/>
  <c r="I14" i="10" s="1"/>
  <c r="J14" i="10" s="1"/>
  <c r="B13" i="11"/>
  <c r="B14" i="11" s="1"/>
  <c r="B10" i="11"/>
  <c r="E5" i="11" s="1"/>
  <c r="H4" i="11"/>
  <c r="G4" i="11"/>
  <c r="E153" i="4"/>
  <c r="F6" i="2"/>
  <c r="G6" i="2"/>
  <c r="B23" i="11" l="1"/>
  <c r="B16" i="11"/>
  <c r="E8" i="2"/>
  <c r="F7" i="2"/>
  <c r="G7" i="2"/>
  <c r="E4" i="11"/>
  <c r="F4" i="11"/>
  <c r="G5" i="11"/>
  <c r="B15" i="11"/>
  <c r="H5" i="11" s="1"/>
  <c r="B11" i="11"/>
  <c r="F5" i="11" s="1"/>
</calcChain>
</file>

<file path=xl/sharedStrings.xml><?xml version="1.0" encoding="utf-8"?>
<sst xmlns="http://schemas.openxmlformats.org/spreadsheetml/2006/main" count="194" uniqueCount="155">
  <si>
    <t>ALIMENTACION  - HIPER PRECOZ / GRANAZZO</t>
  </si>
  <si>
    <t>DIA</t>
  </si>
  <si>
    <t>PESO ANIMAL</t>
  </si>
  <si>
    <t>AUMENTO PESO PROMEDIO</t>
  </si>
  <si>
    <t>RACION (%) - (PESO)</t>
  </si>
  <si>
    <t>CANT ALIMENTO
 (KG)</t>
  </si>
  <si>
    <t>SUBTOTOTAL X TERNERO</t>
  </si>
  <si>
    <t>PROMEDIO DIARIO</t>
  </si>
  <si>
    <t>Costo del Alimento (kg)</t>
  </si>
  <si>
    <t>Costo del procedo de engorde</t>
  </si>
  <si>
    <t>Aumento de Kg</t>
  </si>
  <si>
    <t>Precio del Kg de Ternero</t>
  </si>
  <si>
    <t>Ganancia por Aumento de Kg</t>
  </si>
  <si>
    <t>ALIMENTACION  - PRECOZ</t>
  </si>
  <si>
    <t xml:space="preserve">AUMENTO PESO DIARIO </t>
  </si>
  <si>
    <t>RACION</t>
  </si>
  <si>
    <t>CANT ALIMENTO</t>
  </si>
  <si>
    <t>SUBTOTAL X TERNERO (KG)</t>
  </si>
  <si>
    <t>PROMEDIO</t>
  </si>
  <si>
    <t>Destete Hiperprecoz 23 % - Tonelada</t>
  </si>
  <si>
    <t>Destete Precoz 19 % - Tonelada</t>
  </si>
  <si>
    <t>Vacuno Recria 16 % - Tonelada</t>
  </si>
  <si>
    <t>Suplemento mineral Rodeo General - Tonelada</t>
  </si>
  <si>
    <t>Resultado del Proceso</t>
  </si>
  <si>
    <t>ALLIMENTACION - GRANAZZO</t>
  </si>
  <si>
    <t>ALIMENTO</t>
  </si>
  <si>
    <t>COSTO</t>
  </si>
  <si>
    <t xml:space="preserve">HIPER </t>
  </si>
  <si>
    <t>PRECOZ (KG)</t>
  </si>
  <si>
    <t>SUBTOTAL</t>
  </si>
  <si>
    <t>SAL (KG)</t>
  </si>
  <si>
    <t>TERNEROS</t>
  </si>
  <si>
    <t>KG</t>
  </si>
  <si>
    <t>BOLSAS (25 KG)</t>
  </si>
  <si>
    <t>BOLSAS (30 KG)</t>
  </si>
  <si>
    <t>TN</t>
  </si>
  <si>
    <t>ALIMENTACION - SEGUIMIENTO / GRANAZZO</t>
  </si>
  <si>
    <t>LOTE 1 - 33 TERNEROS</t>
  </si>
  <si>
    <t>HIPER</t>
  </si>
  <si>
    <t>PRECOZ</t>
  </si>
  <si>
    <t>PESO ANIMAL
(KG)</t>
  </si>
  <si>
    <t>TERNEROS
CANTIDAD</t>
  </si>
  <si>
    <t>CANT ALIMENTO DIARIO
 ACUMULADO</t>
  </si>
  <si>
    <t>CANT BOLSAS
DIARIAS</t>
  </si>
  <si>
    <t>CANT ALIMENTO DIARIO
 (KG)</t>
  </si>
  <si>
    <t>CANT ALIMENTO
 ACUMULADO</t>
  </si>
  <si>
    <t>RESUMEN - SEGUIMIENTO</t>
  </si>
  <si>
    <t>BOLSAS</t>
  </si>
  <si>
    <t>COSTO TN (+ IVA)</t>
  </si>
  <si>
    <t>VARIABLES GLOBALES - DESTETE CARAVANA CELESTE</t>
  </si>
  <si>
    <t>Variable</t>
  </si>
  <si>
    <t>Valor</t>
  </si>
  <si>
    <t>Unidad</t>
  </si>
  <si>
    <t>Observación</t>
  </si>
  <si>
    <t>Fecha inicio destete</t>
  </si>
  <si>
    <t>fecha</t>
  </si>
  <si>
    <t>Primer lote - caravana Celeste</t>
  </si>
  <si>
    <t>Cantidad de terneros</t>
  </si>
  <si>
    <t>cabezas</t>
  </si>
  <si>
    <t>Peso inicial</t>
  </si>
  <si>
    <t>kg/cab</t>
  </si>
  <si>
    <t>$/ton</t>
  </si>
  <si>
    <t>$/kg</t>
  </si>
  <si>
    <t>kg/bolsa</t>
  </si>
  <si>
    <t>% PV</t>
  </si>
  <si>
    <t>Precio kg ternero</t>
  </si>
  <si>
    <t>$/kg PV</t>
  </si>
  <si>
    <t>Costo alfalfa por kg</t>
  </si>
  <si>
    <t>Consumo alfalfa kg/cab/día</t>
  </si>
  <si>
    <t>kg/cab/día</t>
  </si>
  <si>
    <t>MODELO DINÁMICO 150 DÍAS - LOTE CELESTE</t>
  </si>
  <si>
    <t>Día</t>
  </si>
  <si>
    <t>Fecha</t>
  </si>
  <si>
    <t>Fase</t>
  </si>
  <si>
    <t>Peso teórico kg</t>
  </si>
  <si>
    <t>ADPV kg/d</t>
  </si>
  <si>
    <t>Consumo % PV</t>
  </si>
  <si>
    <t>Ración teórica kg/cab</t>
  </si>
  <si>
    <t>Consumo real kg/cab</t>
  </si>
  <si>
    <t>Consumo usado kg/cab</t>
  </si>
  <si>
    <t>Costo $/kg</t>
  </si>
  <si>
    <t>Costo diario $/cab</t>
  </si>
  <si>
    <t>Costo acum. $/cab</t>
  </si>
  <si>
    <t>Alimento lote kg</t>
  </si>
  <si>
    <t>Bolsas acum.</t>
  </si>
  <si>
    <t>CONTROL QUINCENAL - PESAJE, CONSUMO Y CONVERSIÓN</t>
  </si>
  <si>
    <t>Control</t>
  </si>
  <si>
    <t>Peso teórico</t>
  </si>
  <si>
    <t>Peso real</t>
  </si>
  <si>
    <t>Kg ganados reales</t>
  </si>
  <si>
    <t>Consumo acum. real/teórico</t>
  </si>
  <si>
    <t>Costo acum.</t>
  </si>
  <si>
    <t>Costo/kg ganado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</si>
  <si>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</si>
  <si>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</si>
  <si>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</si>
  <si>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</si>
  <si>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</si>
  <si>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</si>
  <si>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</si>
  <si>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</si>
  <si>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</si>
  <si>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</si>
  <si>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RESUMEN ECONÓMICO Y DE CONVERSIÓN - 150 DÍAS</t>
  </si>
  <si>
    <t>Indicador</t>
  </si>
  <si>
    <t>Escenario</t>
  </si>
  <si>
    <t>Consumo/cab kg</t>
  </si>
  <si>
    <t>ICA</t>
  </si>
  <si>
    <t>Costo/cab</t>
  </si>
  <si>
    <t>Cantidad terneros</t>
  </si>
  <si>
    <t>Planilla original</t>
  </si>
  <si>
    <t>Peso inicial kg/cab</t>
  </si>
  <si>
    <t>Modelo dinámico</t>
  </si>
  <si>
    <t>Peso final teórico kg/cab</t>
  </si>
  <si>
    <t>Kg ganados/cab</t>
  </si>
  <si>
    <t>Consumo Hiper-Precoz kg/cab</t>
  </si>
  <si>
    <t>Consumo Precoz kg/cab</t>
  </si>
  <si>
    <t>Consumo total kg/cab</t>
  </si>
  <si>
    <t>Costo Hiper-Precoz $/cab</t>
  </si>
  <si>
    <t>Costo Precoz $/cab</t>
  </si>
  <si>
    <t>Costo total alimento $/cab</t>
  </si>
  <si>
    <t>Costo alimento $/kg ganado</t>
  </si>
  <si>
    <t>Promedio del pesaje</t>
  </si>
  <si>
    <t>Caravanas Celestes</t>
  </si>
  <si>
    <t>Precio Hiper-Precoz 23% p/Tn</t>
  </si>
  <si>
    <t>Precio Hiper-Precoz 23% p/kg</t>
  </si>
  <si>
    <t>Precio Precoz 19% p/Tn</t>
  </si>
  <si>
    <t>Precio Precoz 19% p/kg</t>
  </si>
  <si>
    <t>Según Cotización XXXXXX - Fecha xx/xx/xx</t>
  </si>
  <si>
    <t>Peso de la Bolsa Hiper-Precoz</t>
  </si>
  <si>
    <t>Peso de la Bolsa Precoz</t>
  </si>
  <si>
    <t>Estimado a la fecha de venta</t>
  </si>
  <si>
    <t>Según Proveedor</t>
  </si>
  <si>
    <t>Bolsas Diarias</t>
  </si>
  <si>
    <t>Consumo % PV días 1-5</t>
  </si>
  <si>
    <t>Consumo % PV días 6-15</t>
  </si>
  <si>
    <t>Consumo % PV días 16-50</t>
  </si>
  <si>
    <t>Consumo % PV días 51-80</t>
  </si>
  <si>
    <t>Consumo % PV días 81-120</t>
  </si>
  <si>
    <t>Consumo % PV días 120-150</t>
  </si>
  <si>
    <t>ICA (kg alimento/kg ganado)</t>
  </si>
  <si>
    <t>Índice de Conversión Alimenticia
(ICA) Real</t>
  </si>
  <si>
    <t>Cantidad de Bolsas Hiper-Precoz (Un)</t>
  </si>
  <si>
    <t>Cantidad de Tn Hiper-Precoz (Tn)</t>
  </si>
  <si>
    <t>Cantidad de Bolsas Precoz (Un)</t>
  </si>
  <si>
    <t>Cantidad de Tn Precoz (Tn)</t>
  </si>
  <si>
    <t>Valor teórico kg ganados/cab ($)</t>
  </si>
  <si>
    <t>Margen alimento vs kg ganados/cab ($)</t>
  </si>
  <si>
    <t>Costo total lote ($) - Estimado</t>
  </si>
  <si>
    <t>Costo del Aimento - Real</t>
  </si>
  <si>
    <t>Valor Total kg ganados/cab ($)</t>
  </si>
  <si>
    <t>Resultado de la Operación</t>
  </si>
  <si>
    <t xml:space="preserve">Rentabilidad </t>
  </si>
  <si>
    <t>Q11</t>
  </si>
  <si>
    <t>Nota: el modelo dinámico conserva la curva de peso de la planilla original (55 kg a 132 kg), pero cambia el % de consumo a 2% / 3,5% / 3,2% / 3% / 2,8% / 2,5% del PV. La columna 'Consumo real' del MODELO 150D permite reemplazar el teórico día a día. Alfalfa no se incluye en el costo mientras su precio y consumo permanezcan en 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</si>
</sst>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0.000"/>
    <numFmt numFmtId="165" formatCode="&quot;$&quot;#,##0.00"/>
    <numFmt numFmtId="166" formatCode="dd/mm/yyyy"/>
    <numFmt numFmtId="167" formatCode="0.0%"/>
    <numFmt numFmtId="168" formatCode="\$\ #,##0.00"/>
  </numFmts>
  <fonts count="13" x14ac:knownFonts="1">
    <font>
      <sz val="11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6"/>
      <color theme="1"/>
      <name val="Calibri"/>
    </font>
    <font>
      <b/>
      <sz val="11"/>
      <color theme="0" tint="-0.14999847407452621"/>
      <name val="Calibri"/>
    </font>
    <font>
      <b/>
      <sz val="18"/>
      <color theme="1"/>
      <name val="Calibri"/>
    </font>
    <font>
      <b/>
      <sz val="14"/>
      <color theme="1"/>
      <name val="Calibri"/>
    </font>
    <font>
      <b/>
      <sz val="13"/>
      <color theme="1"/>
      <name val="Calibri"/>
    </font>
    <font>
      <sz val="11"/>
      <color theme="1"/>
      <name val="Calibri"/>
    </font>
    <font>
      <b/>
      <sz val="11"/>
      <color rgb="FFFFFFFF"/>
      <name val="Calibri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FFF00"/>
      </patternFill>
    </fill>
    <fill>
      <patternFill patternType="solid">
        <fgColor theme="1"/>
      </patternFill>
    </fill>
    <fill>
      <patternFill patternType="solid">
        <fgColor rgb="FF92D050"/>
      </patternFill>
    </fill>
    <fill>
      <patternFill patternType="solid">
        <fgColor rgb="FF002060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2" fontId="0" fillId="4" borderId="2" xfId="0" applyNumberFormat="1" applyFill="1" applyBorder="1" applyAlignment="1">
      <alignment horizontal="center"/>
    </xf>
    <xf numFmtId="0" fontId="4" fillId="7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0" xfId="0" applyNumberFormat="1"/>
    <xf numFmtId="1" fontId="0" fillId="6" borderId="2" xfId="0" applyNumberFormat="1" applyFill="1" applyBorder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/>
    </xf>
    <xf numFmtId="2" fontId="0" fillId="8" borderId="0" xfId="0" applyNumberFormat="1" applyFill="1" applyAlignment="1">
      <alignment horizontal="center" vertical="center" wrapText="1"/>
    </xf>
    <xf numFmtId="2" fontId="6" fillId="8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1" fontId="3" fillId="3" borderId="0" xfId="0" applyNumberFormat="1" applyFont="1" applyFill="1"/>
    <xf numFmtId="0" fontId="1" fillId="3" borderId="0" xfId="0" applyFont="1" applyFill="1" applyAlignment="1">
      <alignment horizontal="right"/>
    </xf>
    <xf numFmtId="0" fontId="0" fillId="6" borderId="0" xfId="0" applyFill="1" applyAlignment="1">
      <alignment horizontal="center"/>
    </xf>
    <xf numFmtId="165" fontId="7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4" fontId="0" fillId="0" borderId="2" xfId="0" applyNumberFormat="1" applyBorder="1" applyAlignment="1">
      <alignment horizontal="center"/>
    </xf>
    <xf numFmtId="0" fontId="0" fillId="0" borderId="2" xfId="0" applyBorder="1"/>
    <xf numFmtId="44" fontId="0" fillId="0" borderId="0" xfId="1" applyFont="1" applyAlignment="1">
      <alignment horizontal="center"/>
    </xf>
    <xf numFmtId="44" fontId="0" fillId="0" borderId="0" xfId="1" applyFont="1"/>
    <xf numFmtId="44" fontId="0" fillId="0" borderId="0" xfId="0" applyNumberFormat="1"/>
    <xf numFmtId="44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  <xf numFmtId="0" fontId="9" fillId="9" borderId="0" xfId="0" applyFont="1" applyFill="1" applyAlignment="1">
      <alignment horizontal="center" vertical="center" wrapText="1"/>
    </xf>
    <xf numFmtId="166" fontId="0" fillId="10" borderId="0" xfId="0" applyNumberFormat="1" applyFill="1"/>
    <xf numFmtId="1" fontId="0" fillId="10" borderId="0" xfId="0" applyNumberFormat="1" applyFill="1"/>
    <xf numFmtId="4" fontId="0" fillId="10" borderId="0" xfId="0" applyNumberFormat="1" applyFill="1"/>
    <xf numFmtId="166" fontId="0" fillId="0" borderId="0" xfId="0" applyNumberFormat="1"/>
    <xf numFmtId="168" fontId="0" fillId="0" borderId="0" xfId="0" applyNumberFormat="1"/>
    <xf numFmtId="2" fontId="0" fillId="10" borderId="0" xfId="0" applyNumberFormat="1" applyFill="1"/>
    <xf numFmtId="0" fontId="1" fillId="0" borderId="0" xfId="0" applyFont="1"/>
    <xf numFmtId="1" fontId="1" fillId="11" borderId="0" xfId="0" applyNumberFormat="1" applyFont="1" applyFill="1"/>
    <xf numFmtId="2" fontId="1" fillId="11" borderId="0" xfId="0" applyNumberFormat="1" applyFont="1" applyFill="1"/>
    <xf numFmtId="168" fontId="1" fillId="11" borderId="0" xfId="0" applyNumberFormat="1" applyFont="1" applyFill="1"/>
    <xf numFmtId="0" fontId="3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/>
    </xf>
    <xf numFmtId="1" fontId="4" fillId="7" borderId="0" xfId="0" applyNumberFormat="1" applyFont="1" applyFill="1" applyAlignment="1">
      <alignment horizontal="center" vertical="center" wrapText="1"/>
    </xf>
    <xf numFmtId="1" fontId="4" fillId="7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4" fillId="7" borderId="0" xfId="0" applyNumberFormat="1" applyFont="1" applyFill="1" applyAlignment="1">
      <alignment horizontal="center" vertical="center" wrapText="1"/>
    </xf>
    <xf numFmtId="2" fontId="4" fillId="7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2" fontId="3" fillId="8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9" fillId="9" borderId="0" xfId="0" applyFont="1" applyFill="1" applyAlignment="1">
      <alignment horizontal="center" vertical="center" wrapText="1"/>
    </xf>
    <xf numFmtId="0" fontId="0" fillId="10" borderId="0" xfId="0" applyFill="1" applyAlignment="1">
      <alignment vertical="top" wrapText="1"/>
    </xf>
    <xf numFmtId="10" fontId="0" fillId="10" borderId="0" xfId="2" applyNumberFormat="1" applyFont="1" applyFill="1"/>
    <xf numFmtId="10" fontId="0" fillId="10" borderId="0" xfId="0" applyNumberFormat="1" applyFill="1"/>
    <xf numFmtId="0" fontId="0" fillId="12" borderId="0" xfId="0" applyFill="1"/>
    <xf numFmtId="167" fontId="0" fillId="0" borderId="0" xfId="0" applyNumberFormat="1" applyAlignment="1">
      <alignment horizontal="center"/>
    </xf>
    <xf numFmtId="164" fontId="0" fillId="10" borderId="0" xfId="0" applyNumberFormat="1" applyFill="1" applyAlignment="1">
      <alignment horizontal="center"/>
    </xf>
    <xf numFmtId="0" fontId="11" fillId="0" borderId="0" xfId="0" applyFont="1" applyFill="1"/>
    <xf numFmtId="0" fontId="11" fillId="13" borderId="0" xfId="0" applyFont="1" applyFill="1"/>
    <xf numFmtId="166" fontId="11" fillId="13" borderId="0" xfId="0" applyNumberFormat="1" applyFont="1" applyFill="1"/>
    <xf numFmtId="2" fontId="11" fillId="13" borderId="0" xfId="0" applyNumberFormat="1" applyFont="1" applyFill="1" applyAlignment="1">
      <alignment horizontal="center"/>
    </xf>
    <xf numFmtId="167" fontId="11" fillId="13" borderId="0" xfId="0" applyNumberFormat="1" applyFont="1" applyFill="1" applyAlignment="1">
      <alignment horizontal="center"/>
    </xf>
    <xf numFmtId="164" fontId="11" fillId="13" borderId="0" xfId="0" applyNumberFormat="1" applyFont="1" applyFill="1" applyAlignment="1">
      <alignment horizontal="center"/>
    </xf>
    <xf numFmtId="168" fontId="11" fillId="13" borderId="0" xfId="0" applyNumberFormat="1" applyFont="1" applyFill="1"/>
    <xf numFmtId="0" fontId="12" fillId="0" borderId="0" xfId="0" applyFont="1"/>
    <xf numFmtId="0" fontId="10" fillId="0" borderId="0" xfId="0" applyFont="1"/>
    <xf numFmtId="168" fontId="1" fillId="0" borderId="0" xfId="0" applyNumberFormat="1" applyFont="1" applyFill="1"/>
    <xf numFmtId="0" fontId="12" fillId="14" borderId="0" xfId="0" applyFont="1" applyFill="1"/>
    <xf numFmtId="44" fontId="12" fillId="14" borderId="0" xfId="1" applyFont="1" applyFill="1"/>
    <xf numFmtId="0" fontId="12" fillId="15" borderId="0" xfId="0" applyFont="1" applyFill="1"/>
    <xf numFmtId="9" fontId="12" fillId="15" borderId="0" xfId="2" applyFont="1" applyFill="1"/>
    <xf numFmtId="44" fontId="12" fillId="15" borderId="0" xfId="1" applyFont="1" applyFill="1"/>
    <xf numFmtId="2" fontId="0" fillId="13" borderId="0" xfId="0" applyNumberFormat="1" applyFill="1" applyAlignment="1">
      <alignment horizontal="center"/>
    </xf>
    <xf numFmtId="4" fontId="0" fillId="11" borderId="0" xfId="0" applyNumberFormat="1" applyFill="1" applyProtection="1"/>
    <xf numFmtId="0" fontId="10" fillId="10" borderId="0" xfId="0" applyFont="1" applyFill="1" applyAlignment="1">
      <alignment vertical="top" wrapText="1"/>
    </xf>
  </cellXfs>
  <cellStyles count="3">
    <cellStyle name="Moneda" xfId="1" xr:uid="{00000000-0005-0000-0000-000000000000}"/>
    <cellStyle name="Normal" xfId="0" builtinId="0"/>
    <cellStyle name="Porcentaje" xfId="2" builtinId="5"/>
  </cellStyles>
  <dxfs count="1">
    <dxf>
      <font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Evolución teórica de peso - 150 días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Peso Real</c:v>
          </c:tx>
          <c:marker>
            <c:symbol val="none"/>
          </c:marker>
          <c:cat>
            <c:numRef>
              <c:f>'CONTROL QUINCENAL'!$C$4:$C$14</c:f>
              <c:numCache>
                <c:formatCode>dd/mm/yyyy</c:formatCode>
                <c:ptCount val="11"/>
                <c:pt idx="0">
                  <c:v>46285</c:v>
                </c:pt>
                <c:pt idx="1">
                  <c:v>46299</c:v>
                </c:pt>
                <c:pt idx="2">
                  <c:v>46314</c:v>
                </c:pt>
                <c:pt idx="3">
                  <c:v>46329</c:v>
                </c:pt>
                <c:pt idx="4">
                  <c:v>46344</c:v>
                </c:pt>
                <c:pt idx="5">
                  <c:v>46359</c:v>
                </c:pt>
                <c:pt idx="6">
                  <c:v>46374</c:v>
                </c:pt>
                <c:pt idx="7">
                  <c:v>46389</c:v>
                </c:pt>
                <c:pt idx="8">
                  <c:v>46404</c:v>
                </c:pt>
                <c:pt idx="9">
                  <c:v>46419</c:v>
                </c:pt>
                <c:pt idx="10">
                  <c:v>46434</c:v>
                </c:pt>
              </c:numCache>
            </c:numRef>
          </c:cat>
          <c:val>
            <c:numRef>
              <c:f>'CONTROL QUINCENAL'!$E$4:$E$14</c:f>
              <c:numCache>
                <c:formatCode>0.00</c:formatCode>
                <c:ptCount val="11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4B-4104-9BAA-156A4AD53312}"/>
            </c:ext>
          </c:extLst>
        </c:ser>
        <c:ser>
          <c:idx val="1"/>
          <c:order val="1"/>
          <c:tx>
            <c:v>Peso teórico kg</c:v>
          </c:tx>
          <c:marker>
            <c:symbol val="none"/>
          </c:marker>
          <c:cat>
            <c:numRef>
              <c:f>'CONTROL QUINCENAL'!$C$4:$C$14</c:f>
              <c:numCache>
                <c:formatCode>dd/mm/yyyy</c:formatCode>
                <c:ptCount val="11"/>
                <c:pt idx="0">
                  <c:v>46285</c:v>
                </c:pt>
                <c:pt idx="1">
                  <c:v>46299</c:v>
                </c:pt>
                <c:pt idx="2">
                  <c:v>46314</c:v>
                </c:pt>
                <c:pt idx="3">
                  <c:v>46329</c:v>
                </c:pt>
                <c:pt idx="4">
                  <c:v>46344</c:v>
                </c:pt>
                <c:pt idx="5">
                  <c:v>46359</c:v>
                </c:pt>
                <c:pt idx="6">
                  <c:v>46374</c:v>
                </c:pt>
                <c:pt idx="7">
                  <c:v>46389</c:v>
                </c:pt>
                <c:pt idx="8">
                  <c:v>46404</c:v>
                </c:pt>
                <c:pt idx="9">
                  <c:v>46419</c:v>
                </c:pt>
                <c:pt idx="10">
                  <c:v>46434</c:v>
                </c:pt>
              </c:numCache>
            </c:numRef>
          </c:cat>
          <c:val>
            <c:numRef>
              <c:f>'CONTROL QUINCENAL'!$D$4:$D$14</c:f>
              <c:numCache>
                <c:formatCode>0.00</c:formatCode>
                <c:ptCount val="11"/>
                <c:pt idx="0">
                  <c:v>55</c:v>
                </c:pt>
                <c:pt idx="1">
                  <c:v>55.04999999999999</c:v>
                </c:pt>
                <c:pt idx="2">
                  <c:v>59.649999999999963</c:v>
                </c:pt>
                <c:pt idx="3">
                  <c:v>65.849999999999966</c:v>
                </c:pt>
                <c:pt idx="4">
                  <c:v>73.09999999999998</c:v>
                </c:pt>
                <c:pt idx="5">
                  <c:v>82.099999999999895</c:v>
                </c:pt>
                <c:pt idx="6">
                  <c:v>91.249999999999844</c:v>
                </c:pt>
                <c:pt idx="7">
                  <c:v>100.99999999999993</c:v>
                </c:pt>
                <c:pt idx="8">
                  <c:v>111.14999999999999</c:v>
                </c:pt>
                <c:pt idx="9">
                  <c:v>121.65000000000003</c:v>
                </c:pt>
                <c:pt idx="10">
                  <c:v>132.15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4B-4104-9BAA-156A4AD53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dd/mm/yy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0"/>
  <sheetViews>
    <sheetView showGridLines="0" workbookViewId="0">
      <selection activeCell="C7" sqref="C7"/>
    </sheetView>
  </sheetViews>
  <sheetFormatPr baseColWidth="10" defaultRowHeight="14.25" x14ac:dyDescent="0.45"/>
  <cols>
    <col min="1" max="1" width="11.3984375" style="1"/>
    <col min="2" max="2" width="13.1328125" style="3" customWidth="1"/>
    <col min="3" max="3" width="22.59765625" style="5" customWidth="1"/>
    <col min="4" max="4" width="22.86328125" style="1" customWidth="1"/>
    <col min="5" max="5" width="15.59765625" style="5" customWidth="1"/>
    <col min="6" max="6" width="19.86328125" style="3" customWidth="1"/>
  </cols>
  <sheetData>
    <row r="2" spans="1:5" x14ac:dyDescent="0.45">
      <c r="A2" s="57" t="s">
        <v>0</v>
      </c>
      <c r="B2" s="57"/>
      <c r="C2" s="57"/>
      <c r="D2" s="57"/>
      <c r="E2" s="57"/>
    </row>
    <row r="3" spans="1:5" x14ac:dyDescent="0.45">
      <c r="A3" s="57"/>
      <c r="B3" s="57"/>
      <c r="C3" s="57"/>
      <c r="D3" s="57"/>
      <c r="E3" s="57"/>
    </row>
    <row r="4" spans="1:5" x14ac:dyDescent="0.45">
      <c r="A4" s="58" t="s">
        <v>1</v>
      </c>
      <c r="B4" s="58" t="s">
        <v>2</v>
      </c>
      <c r="C4" s="59" t="s">
        <v>3</v>
      </c>
      <c r="D4" s="58" t="s">
        <v>4</v>
      </c>
      <c r="E4" s="59" t="s">
        <v>5</v>
      </c>
    </row>
    <row r="5" spans="1:5" x14ac:dyDescent="0.45">
      <c r="A5" s="58"/>
      <c r="B5" s="58"/>
      <c r="C5" s="59"/>
      <c r="D5" s="58"/>
      <c r="E5" s="58"/>
    </row>
    <row r="6" spans="1:5" x14ac:dyDescent="0.45">
      <c r="A6" s="13">
        <v>1</v>
      </c>
      <c r="B6" s="14">
        <v>55</v>
      </c>
      <c r="C6" s="15">
        <v>-0.1</v>
      </c>
      <c r="D6" s="16">
        <v>2.5000000000000001E-2</v>
      </c>
      <c r="E6" s="15">
        <f t="shared" ref="E6:E20" si="0">+B6*D6</f>
        <v>1.375</v>
      </c>
    </row>
    <row r="7" spans="1:5" x14ac:dyDescent="0.45">
      <c r="A7" s="13">
        <v>2</v>
      </c>
      <c r="B7" s="14">
        <f t="shared" ref="B7:B20" si="1">+B6+C6</f>
        <v>54.9</v>
      </c>
      <c r="C7" s="15">
        <v>-0.1</v>
      </c>
      <c r="D7" s="16">
        <v>2.5000000000000001E-2</v>
      </c>
      <c r="E7" s="15">
        <f t="shared" si="0"/>
        <v>1.3725000000000001</v>
      </c>
    </row>
    <row r="8" spans="1:5" x14ac:dyDescent="0.45">
      <c r="A8" s="13">
        <v>3</v>
      </c>
      <c r="B8" s="14">
        <f t="shared" si="1"/>
        <v>54.8</v>
      </c>
      <c r="C8" s="15">
        <v>-0.1</v>
      </c>
      <c r="D8" s="16">
        <v>2.5000000000000001E-2</v>
      </c>
      <c r="E8" s="15">
        <f t="shared" si="0"/>
        <v>1.37</v>
      </c>
    </row>
    <row r="9" spans="1:5" x14ac:dyDescent="0.45">
      <c r="A9" s="13">
        <v>4</v>
      </c>
      <c r="B9" s="14">
        <f t="shared" si="1"/>
        <v>54.699999999999996</v>
      </c>
      <c r="C9" s="15">
        <v>-0.1</v>
      </c>
      <c r="D9" s="16">
        <v>2.5000000000000001E-2</v>
      </c>
      <c r="E9" s="15">
        <f t="shared" si="0"/>
        <v>1.3674999999999999</v>
      </c>
    </row>
    <row r="10" spans="1:5" x14ac:dyDescent="0.45">
      <c r="A10" s="13">
        <v>5</v>
      </c>
      <c r="B10" s="14">
        <f t="shared" si="1"/>
        <v>54.599999999999994</v>
      </c>
      <c r="C10" s="15">
        <v>-0.1</v>
      </c>
      <c r="D10" s="16">
        <v>2.5000000000000001E-2</v>
      </c>
      <c r="E10" s="15">
        <f t="shared" si="0"/>
        <v>1.365</v>
      </c>
    </row>
    <row r="11" spans="1:5" x14ac:dyDescent="0.45">
      <c r="A11" s="13">
        <v>6</v>
      </c>
      <c r="B11" s="14">
        <f t="shared" si="1"/>
        <v>54.499999999999993</v>
      </c>
      <c r="C11" s="15">
        <v>-0.1</v>
      </c>
      <c r="D11" s="16">
        <v>2.5000000000000001E-2</v>
      </c>
      <c r="E11" s="15">
        <f t="shared" si="0"/>
        <v>1.3624999999999998</v>
      </c>
    </row>
    <row r="12" spans="1:5" x14ac:dyDescent="0.45">
      <c r="A12" s="13">
        <v>7</v>
      </c>
      <c r="B12" s="14">
        <f t="shared" si="1"/>
        <v>54.399999999999991</v>
      </c>
      <c r="C12" s="15">
        <v>-0.1</v>
      </c>
      <c r="D12" s="16">
        <v>2.5000000000000001E-2</v>
      </c>
      <c r="E12" s="15">
        <f t="shared" si="0"/>
        <v>1.3599999999999999</v>
      </c>
    </row>
    <row r="13" spans="1:5" x14ac:dyDescent="0.45">
      <c r="A13" s="13">
        <v>8</v>
      </c>
      <c r="B13" s="14">
        <f t="shared" si="1"/>
        <v>54.29999999999999</v>
      </c>
      <c r="C13" s="15">
        <v>0</v>
      </c>
      <c r="D13" s="16">
        <v>2.5000000000000001E-2</v>
      </c>
      <c r="E13" s="15">
        <f t="shared" si="0"/>
        <v>1.3574999999999999</v>
      </c>
    </row>
    <row r="14" spans="1:5" x14ac:dyDescent="0.45">
      <c r="A14" s="13">
        <v>9</v>
      </c>
      <c r="B14" s="14">
        <f t="shared" si="1"/>
        <v>54.29999999999999</v>
      </c>
      <c r="C14" s="15">
        <v>0.1</v>
      </c>
      <c r="D14" s="16">
        <v>2.5000000000000001E-2</v>
      </c>
      <c r="E14" s="15">
        <f t="shared" si="0"/>
        <v>1.3574999999999999</v>
      </c>
    </row>
    <row r="15" spans="1:5" x14ac:dyDescent="0.45">
      <c r="A15" s="13">
        <v>10</v>
      </c>
      <c r="B15" s="14">
        <f t="shared" si="1"/>
        <v>54.399999999999991</v>
      </c>
      <c r="C15" s="15">
        <v>0.1</v>
      </c>
      <c r="D15" s="16">
        <v>2.5000000000000001E-2</v>
      </c>
      <c r="E15" s="15">
        <f t="shared" si="0"/>
        <v>1.3599999999999999</v>
      </c>
    </row>
    <row r="16" spans="1:5" x14ac:dyDescent="0.45">
      <c r="A16" s="13">
        <v>11</v>
      </c>
      <c r="B16" s="14">
        <f t="shared" si="1"/>
        <v>54.499999999999993</v>
      </c>
      <c r="C16" s="15">
        <v>0.1</v>
      </c>
      <c r="D16" s="16">
        <v>2.5000000000000001E-2</v>
      </c>
      <c r="E16" s="15">
        <f t="shared" si="0"/>
        <v>1.3624999999999998</v>
      </c>
    </row>
    <row r="17" spans="1:5" x14ac:dyDescent="0.45">
      <c r="A17" s="13">
        <v>12</v>
      </c>
      <c r="B17" s="14">
        <f t="shared" si="1"/>
        <v>54.599999999999994</v>
      </c>
      <c r="C17" s="15">
        <v>0.15</v>
      </c>
      <c r="D17" s="16">
        <v>2.5000000000000001E-2</v>
      </c>
      <c r="E17" s="15">
        <f t="shared" si="0"/>
        <v>1.365</v>
      </c>
    </row>
    <row r="18" spans="1:5" x14ac:dyDescent="0.45">
      <c r="A18" s="13">
        <v>13</v>
      </c>
      <c r="B18" s="14">
        <f t="shared" si="1"/>
        <v>54.749999999999993</v>
      </c>
      <c r="C18" s="15">
        <v>0.15</v>
      </c>
      <c r="D18" s="16">
        <v>2.5000000000000001E-2</v>
      </c>
      <c r="E18" s="15">
        <f t="shared" si="0"/>
        <v>1.3687499999999999</v>
      </c>
    </row>
    <row r="19" spans="1:5" x14ac:dyDescent="0.45">
      <c r="A19" s="13">
        <v>14</v>
      </c>
      <c r="B19" s="14">
        <f t="shared" si="1"/>
        <v>54.899999999999991</v>
      </c>
      <c r="C19" s="15">
        <v>0.15</v>
      </c>
      <c r="D19" s="16">
        <v>2.5000000000000001E-2</v>
      </c>
      <c r="E19" s="15">
        <f t="shared" si="0"/>
        <v>1.3724999999999998</v>
      </c>
    </row>
    <row r="20" spans="1:5" x14ac:dyDescent="0.45">
      <c r="A20" s="13">
        <v>15</v>
      </c>
      <c r="B20" s="17">
        <f t="shared" si="1"/>
        <v>55.04999999999999</v>
      </c>
      <c r="C20" s="15">
        <v>0.15</v>
      </c>
      <c r="D20" s="16">
        <v>2.5000000000000001E-2</v>
      </c>
      <c r="E20" s="15">
        <f t="shared" si="0"/>
        <v>1.3762499999999998</v>
      </c>
    </row>
    <row r="21" spans="1:5" ht="5.0999999999999996" customHeight="1" x14ac:dyDescent="0.45">
      <c r="D21" s="2"/>
      <c r="E21" s="12"/>
    </row>
    <row r="22" spans="1:5" x14ac:dyDescent="0.45">
      <c r="D22" s="2" t="s">
        <v>6</v>
      </c>
      <c r="E22" s="5">
        <f>SUM(E6:E21)</f>
        <v>20.492499999999993</v>
      </c>
    </row>
    <row r="23" spans="1:5" x14ac:dyDescent="0.45">
      <c r="D23" s="2" t="s">
        <v>7</v>
      </c>
      <c r="E23" s="5">
        <f>AVERAGE(E6:E20)</f>
        <v>1.3661666666666661</v>
      </c>
    </row>
    <row r="25" spans="1:5" x14ac:dyDescent="0.45">
      <c r="D25" s="1" t="s">
        <v>8</v>
      </c>
      <c r="E25" s="44">
        <f>PRECOZ!I145/1000</f>
        <v>833.86</v>
      </c>
    </row>
    <row r="26" spans="1:5" x14ac:dyDescent="0.45">
      <c r="E26" s="44"/>
    </row>
    <row r="27" spans="1:5" x14ac:dyDescent="0.45">
      <c r="D27" s="1" t="s">
        <v>9</v>
      </c>
      <c r="E27" s="45">
        <f>+E25*E22</f>
        <v>17087.876049999995</v>
      </c>
    </row>
    <row r="28" spans="1:5" x14ac:dyDescent="0.45">
      <c r="D28" s="1" t="s">
        <v>10</v>
      </c>
      <c r="E28" s="44">
        <f>B20-B6</f>
        <v>4.9999999999990052E-2</v>
      </c>
    </row>
    <row r="29" spans="1:5" x14ac:dyDescent="0.45">
      <c r="D29" s="1" t="s">
        <v>11</v>
      </c>
      <c r="E29" s="45">
        <v>7600</v>
      </c>
    </row>
    <row r="30" spans="1:5" x14ac:dyDescent="0.45">
      <c r="D30" s="1" t="s">
        <v>12</v>
      </c>
      <c r="E30" s="45">
        <f>+E29*E28</f>
        <v>379.9999999999244</v>
      </c>
    </row>
  </sheetData>
  <mergeCells count="6">
    <mergeCell ref="A2:E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57"/>
  <sheetViews>
    <sheetView showGridLines="0" topLeftCell="A118" workbookViewId="0">
      <selection activeCell="H24" sqref="H24"/>
    </sheetView>
  </sheetViews>
  <sheetFormatPr baseColWidth="10" defaultRowHeight="14.25" x14ac:dyDescent="0.45"/>
  <cols>
    <col min="1" max="1" width="11.3984375" style="1"/>
    <col min="2" max="2" width="13.1328125" style="3" customWidth="1"/>
    <col min="3" max="3" width="22.59765625" style="5" customWidth="1"/>
    <col min="4" max="4" width="24.73046875" style="1" customWidth="1"/>
    <col min="5" max="5" width="15.59765625" style="5" customWidth="1"/>
    <col min="8" max="8" width="41.9296875" customWidth="1"/>
    <col min="9" max="9" width="22.9296875" customWidth="1"/>
  </cols>
  <sheetData>
    <row r="2" spans="1:5" ht="15" customHeight="1" x14ac:dyDescent="0.45">
      <c r="A2" s="57" t="s">
        <v>13</v>
      </c>
      <c r="B2" s="57"/>
      <c r="C2" s="57"/>
      <c r="D2" s="57"/>
      <c r="E2" s="57"/>
    </row>
    <row r="3" spans="1:5" ht="15" customHeight="1" x14ac:dyDescent="0.45">
      <c r="A3" s="57"/>
      <c r="B3" s="57"/>
      <c r="C3" s="57"/>
      <c r="D3" s="57"/>
      <c r="E3" s="57"/>
    </row>
    <row r="4" spans="1:5" s="3" customFormat="1" x14ac:dyDescent="0.45">
      <c r="A4" s="58" t="s">
        <v>1</v>
      </c>
      <c r="B4" s="58" t="s">
        <v>2</v>
      </c>
      <c r="C4" s="59" t="s">
        <v>14</v>
      </c>
      <c r="D4" s="58" t="s">
        <v>15</v>
      </c>
      <c r="E4" s="59" t="s">
        <v>16</v>
      </c>
    </row>
    <row r="5" spans="1:5" s="3" customFormat="1" x14ac:dyDescent="0.45">
      <c r="A5" s="58"/>
      <c r="B5" s="58"/>
      <c r="C5" s="59"/>
      <c r="D5" s="58"/>
      <c r="E5" s="58"/>
    </row>
    <row r="6" spans="1:5" s="3" customFormat="1" x14ac:dyDescent="0.45">
      <c r="A6" s="1">
        <v>16</v>
      </c>
      <c r="B6" s="3">
        <f>+HIPER!B20</f>
        <v>55.04999999999999</v>
      </c>
      <c r="C6" s="5">
        <v>0.25</v>
      </c>
      <c r="D6" s="2">
        <v>2.5000000000000001E-2</v>
      </c>
      <c r="E6" s="5">
        <f t="shared" ref="E6:E59" si="0">+B6*D6</f>
        <v>1.3762499999999998</v>
      </c>
    </row>
    <row r="7" spans="1:5" s="3" customFormat="1" x14ac:dyDescent="0.45">
      <c r="A7" s="1">
        <v>17</v>
      </c>
      <c r="B7" s="3">
        <f t="shared" ref="B7:B70" si="1">+B6+C6</f>
        <v>55.29999999999999</v>
      </c>
      <c r="C7" s="5">
        <v>0.25</v>
      </c>
      <c r="D7" s="2">
        <v>2.5000000000000001E-2</v>
      </c>
      <c r="E7" s="5">
        <f t="shared" si="0"/>
        <v>1.3824999999999998</v>
      </c>
    </row>
    <row r="8" spans="1:5" s="3" customFormat="1" x14ac:dyDescent="0.45">
      <c r="A8" s="1">
        <v>18</v>
      </c>
      <c r="B8" s="3">
        <f t="shared" si="1"/>
        <v>55.54999999999999</v>
      </c>
      <c r="C8" s="5">
        <v>0.25</v>
      </c>
      <c r="D8" s="2">
        <v>2.5000000000000001E-2</v>
      </c>
      <c r="E8" s="5">
        <f t="shared" si="0"/>
        <v>1.3887499999999999</v>
      </c>
    </row>
    <row r="9" spans="1:5" s="3" customFormat="1" x14ac:dyDescent="0.45">
      <c r="A9" s="1">
        <v>19</v>
      </c>
      <c r="B9" s="3">
        <f t="shared" si="1"/>
        <v>55.79999999999999</v>
      </c>
      <c r="C9" s="5">
        <v>0.3</v>
      </c>
      <c r="D9" s="2">
        <v>2.5000000000000001E-2</v>
      </c>
      <c r="E9" s="5">
        <f t="shared" si="0"/>
        <v>1.3949999999999998</v>
      </c>
    </row>
    <row r="10" spans="1:5" s="3" customFormat="1" x14ac:dyDescent="0.45">
      <c r="A10" s="1">
        <v>20</v>
      </c>
      <c r="B10" s="3">
        <f t="shared" si="1"/>
        <v>56.099999999999987</v>
      </c>
      <c r="C10" s="5">
        <v>0.3</v>
      </c>
      <c r="D10" s="2">
        <v>2.5000000000000001E-2</v>
      </c>
      <c r="E10" s="5">
        <f t="shared" si="0"/>
        <v>1.4024999999999999</v>
      </c>
    </row>
    <row r="11" spans="1:5" s="3" customFormat="1" x14ac:dyDescent="0.45">
      <c r="A11" s="1">
        <v>21</v>
      </c>
      <c r="B11" s="3">
        <f t="shared" si="1"/>
        <v>56.399999999999984</v>
      </c>
      <c r="C11" s="5">
        <v>0.3</v>
      </c>
      <c r="D11" s="2">
        <v>2.5000000000000001E-2</v>
      </c>
      <c r="E11" s="5">
        <f t="shared" si="0"/>
        <v>1.4099999999999997</v>
      </c>
    </row>
    <row r="12" spans="1:5" s="3" customFormat="1" x14ac:dyDescent="0.45">
      <c r="A12" s="1">
        <v>22</v>
      </c>
      <c r="B12" s="3">
        <f t="shared" si="1"/>
        <v>56.699999999999982</v>
      </c>
      <c r="C12" s="5">
        <v>0.3</v>
      </c>
      <c r="D12" s="2">
        <v>2.5000000000000001E-2</v>
      </c>
      <c r="E12" s="5">
        <f t="shared" si="0"/>
        <v>1.4174999999999995</v>
      </c>
    </row>
    <row r="13" spans="1:5" s="3" customFormat="1" x14ac:dyDescent="0.45">
      <c r="A13" s="1">
        <v>23</v>
      </c>
      <c r="B13" s="3">
        <f t="shared" si="1"/>
        <v>56.999999999999979</v>
      </c>
      <c r="C13" s="5">
        <v>0.3</v>
      </c>
      <c r="D13" s="2">
        <v>2.5000000000000001E-2</v>
      </c>
      <c r="E13" s="5">
        <f t="shared" si="0"/>
        <v>1.4249999999999996</v>
      </c>
    </row>
    <row r="14" spans="1:5" s="3" customFormat="1" x14ac:dyDescent="0.45">
      <c r="A14" s="1">
        <v>24</v>
      </c>
      <c r="B14" s="3">
        <f t="shared" si="1"/>
        <v>57.299999999999976</v>
      </c>
      <c r="C14" s="5">
        <v>0.3</v>
      </c>
      <c r="D14" s="2">
        <v>2.5000000000000001E-2</v>
      </c>
      <c r="E14" s="5">
        <f t="shared" si="0"/>
        <v>1.4324999999999994</v>
      </c>
    </row>
    <row r="15" spans="1:5" s="3" customFormat="1" x14ac:dyDescent="0.45">
      <c r="A15" s="1">
        <v>25</v>
      </c>
      <c r="B15" s="3">
        <f t="shared" si="1"/>
        <v>57.599999999999973</v>
      </c>
      <c r="C15" s="5">
        <v>0.3</v>
      </c>
      <c r="D15" s="2">
        <v>2.5000000000000001E-2</v>
      </c>
      <c r="E15" s="5">
        <f t="shared" si="0"/>
        <v>1.4399999999999995</v>
      </c>
    </row>
    <row r="16" spans="1:5" s="3" customFormat="1" x14ac:dyDescent="0.45">
      <c r="A16" s="1">
        <v>26</v>
      </c>
      <c r="B16" s="3">
        <f t="shared" si="1"/>
        <v>57.89999999999997</v>
      </c>
      <c r="C16" s="5">
        <v>0.4</v>
      </c>
      <c r="D16" s="2">
        <v>2.5000000000000001E-2</v>
      </c>
      <c r="E16" s="5">
        <f t="shared" si="0"/>
        <v>1.4474999999999993</v>
      </c>
    </row>
    <row r="17" spans="1:5" s="3" customFormat="1" x14ac:dyDescent="0.45">
      <c r="A17" s="1">
        <v>27</v>
      </c>
      <c r="B17" s="3">
        <f t="shared" si="1"/>
        <v>58.299999999999969</v>
      </c>
      <c r="C17" s="5">
        <v>0.4</v>
      </c>
      <c r="D17" s="2">
        <v>2.5000000000000001E-2</v>
      </c>
      <c r="E17" s="5">
        <f t="shared" si="0"/>
        <v>1.4574999999999994</v>
      </c>
    </row>
    <row r="18" spans="1:5" s="3" customFormat="1" x14ac:dyDescent="0.45">
      <c r="A18" s="1">
        <v>28</v>
      </c>
      <c r="B18" s="3">
        <f t="shared" si="1"/>
        <v>58.699999999999967</v>
      </c>
      <c r="C18" s="5">
        <v>0.4</v>
      </c>
      <c r="D18" s="2">
        <v>2.5000000000000001E-2</v>
      </c>
      <c r="E18" s="5">
        <f t="shared" si="0"/>
        <v>1.4674999999999994</v>
      </c>
    </row>
    <row r="19" spans="1:5" s="3" customFormat="1" x14ac:dyDescent="0.45">
      <c r="A19" s="1">
        <v>29</v>
      </c>
      <c r="B19" s="3">
        <f t="shared" si="1"/>
        <v>59.099999999999966</v>
      </c>
      <c r="C19" s="5">
        <v>0.4</v>
      </c>
      <c r="D19" s="2">
        <v>2.5000000000000001E-2</v>
      </c>
      <c r="E19" s="5">
        <f t="shared" si="0"/>
        <v>1.4774999999999991</v>
      </c>
    </row>
    <row r="20" spans="1:5" s="3" customFormat="1" x14ac:dyDescent="0.45">
      <c r="A20" s="1">
        <v>30</v>
      </c>
      <c r="B20" s="3">
        <f t="shared" si="1"/>
        <v>59.499999999999964</v>
      </c>
      <c r="C20" s="5">
        <v>0.4</v>
      </c>
      <c r="D20" s="2">
        <v>2.5000000000000001E-2</v>
      </c>
      <c r="E20" s="5">
        <f t="shared" si="0"/>
        <v>1.4874999999999992</v>
      </c>
    </row>
    <row r="21" spans="1:5" s="3" customFormat="1" x14ac:dyDescent="0.45">
      <c r="A21" s="1">
        <v>31</v>
      </c>
      <c r="B21" s="3">
        <f t="shared" si="1"/>
        <v>59.899999999999963</v>
      </c>
      <c r="C21" s="5">
        <v>0.4</v>
      </c>
      <c r="D21" s="2">
        <v>0.03</v>
      </c>
      <c r="E21" s="5">
        <f t="shared" si="0"/>
        <v>1.7969999999999988</v>
      </c>
    </row>
    <row r="22" spans="1:5" s="3" customFormat="1" x14ac:dyDescent="0.45">
      <c r="A22" s="1">
        <v>32</v>
      </c>
      <c r="B22" s="3">
        <f t="shared" si="1"/>
        <v>60.299999999999962</v>
      </c>
      <c r="C22" s="5">
        <v>0.4</v>
      </c>
      <c r="D22" s="2">
        <v>0.03</v>
      </c>
      <c r="E22" s="5">
        <f t="shared" si="0"/>
        <v>1.8089999999999988</v>
      </c>
    </row>
    <row r="23" spans="1:5" s="3" customFormat="1" x14ac:dyDescent="0.45">
      <c r="A23" s="1">
        <v>33</v>
      </c>
      <c r="B23" s="3">
        <f t="shared" si="1"/>
        <v>60.69999999999996</v>
      </c>
      <c r="C23" s="5">
        <v>0.4</v>
      </c>
      <c r="D23" s="2">
        <v>0.03</v>
      </c>
      <c r="E23" s="5">
        <f t="shared" si="0"/>
        <v>1.8209999999999988</v>
      </c>
    </row>
    <row r="24" spans="1:5" s="3" customFormat="1" x14ac:dyDescent="0.45">
      <c r="A24" s="1">
        <v>34</v>
      </c>
      <c r="B24" s="3">
        <f t="shared" si="1"/>
        <v>61.099999999999959</v>
      </c>
      <c r="C24" s="5">
        <v>0.4</v>
      </c>
      <c r="D24" s="2">
        <v>0.03</v>
      </c>
      <c r="E24" s="5">
        <f t="shared" si="0"/>
        <v>1.8329999999999986</v>
      </c>
    </row>
    <row r="25" spans="1:5" s="3" customFormat="1" x14ac:dyDescent="0.45">
      <c r="A25" s="1">
        <v>35</v>
      </c>
      <c r="B25" s="3">
        <f t="shared" si="1"/>
        <v>61.499999999999957</v>
      </c>
      <c r="C25" s="5">
        <v>0.4</v>
      </c>
      <c r="D25" s="2">
        <v>0.03</v>
      </c>
      <c r="E25" s="5">
        <f t="shared" si="0"/>
        <v>1.8449999999999986</v>
      </c>
    </row>
    <row r="26" spans="1:5" s="3" customFormat="1" x14ac:dyDescent="0.45">
      <c r="A26" s="1">
        <v>36</v>
      </c>
      <c r="B26" s="3">
        <f t="shared" si="1"/>
        <v>61.899999999999956</v>
      </c>
      <c r="C26" s="5">
        <v>0.4</v>
      </c>
      <c r="D26" s="2">
        <v>0.03</v>
      </c>
      <c r="E26" s="5">
        <f t="shared" si="0"/>
        <v>1.8569999999999987</v>
      </c>
    </row>
    <row r="27" spans="1:5" s="3" customFormat="1" x14ac:dyDescent="0.45">
      <c r="A27" s="1">
        <v>37</v>
      </c>
      <c r="B27" s="3">
        <f t="shared" si="1"/>
        <v>62.299999999999955</v>
      </c>
      <c r="C27" s="5">
        <v>0.4</v>
      </c>
      <c r="D27" s="2">
        <v>0.03</v>
      </c>
      <c r="E27" s="5">
        <f t="shared" si="0"/>
        <v>1.8689999999999987</v>
      </c>
    </row>
    <row r="28" spans="1:5" s="3" customFormat="1" x14ac:dyDescent="0.45">
      <c r="A28" s="1">
        <v>38</v>
      </c>
      <c r="B28" s="3">
        <f t="shared" si="1"/>
        <v>62.699999999999953</v>
      </c>
      <c r="C28" s="5">
        <v>0.4</v>
      </c>
      <c r="D28" s="2">
        <v>0.03</v>
      </c>
      <c r="E28" s="5">
        <f t="shared" si="0"/>
        <v>1.8809999999999985</v>
      </c>
    </row>
    <row r="29" spans="1:5" s="3" customFormat="1" x14ac:dyDescent="0.45">
      <c r="A29" s="1">
        <v>39</v>
      </c>
      <c r="B29" s="3">
        <f t="shared" si="1"/>
        <v>63.099999999999952</v>
      </c>
      <c r="C29" s="5">
        <v>0.4</v>
      </c>
      <c r="D29" s="2">
        <v>0.03</v>
      </c>
      <c r="E29" s="5">
        <f t="shared" si="0"/>
        <v>1.8929999999999985</v>
      </c>
    </row>
    <row r="30" spans="1:5" s="3" customFormat="1" x14ac:dyDescent="0.45">
      <c r="A30" s="1">
        <v>40</v>
      </c>
      <c r="B30" s="3">
        <f t="shared" si="1"/>
        <v>63.49999999999995</v>
      </c>
      <c r="C30" s="5">
        <v>0.4</v>
      </c>
      <c r="D30" s="2">
        <v>0.03</v>
      </c>
      <c r="E30" s="5">
        <f t="shared" si="0"/>
        <v>1.9049999999999985</v>
      </c>
    </row>
    <row r="31" spans="1:5" s="3" customFormat="1" x14ac:dyDescent="0.45">
      <c r="A31" s="1">
        <v>41</v>
      </c>
      <c r="B31" s="3">
        <f t="shared" si="1"/>
        <v>63.899999999999949</v>
      </c>
      <c r="C31" s="5">
        <v>0.45</v>
      </c>
      <c r="D31" s="2">
        <v>0.03</v>
      </c>
      <c r="E31" s="5">
        <f t="shared" si="0"/>
        <v>1.9169999999999985</v>
      </c>
    </row>
    <row r="32" spans="1:5" s="3" customFormat="1" x14ac:dyDescent="0.45">
      <c r="A32" s="1">
        <v>42</v>
      </c>
      <c r="B32" s="3">
        <f t="shared" si="1"/>
        <v>64.349999999999952</v>
      </c>
      <c r="C32" s="5">
        <v>0.45</v>
      </c>
      <c r="D32" s="2">
        <v>0.03</v>
      </c>
      <c r="E32" s="5">
        <f t="shared" si="0"/>
        <v>1.9304999999999986</v>
      </c>
    </row>
    <row r="33" spans="1:5" s="3" customFormat="1" x14ac:dyDescent="0.45">
      <c r="A33" s="1">
        <v>43</v>
      </c>
      <c r="B33" s="3">
        <f t="shared" si="1"/>
        <v>64.799999999999955</v>
      </c>
      <c r="C33" s="5">
        <v>0.45</v>
      </c>
      <c r="D33" s="2">
        <v>0.03</v>
      </c>
      <c r="E33" s="5">
        <f t="shared" si="0"/>
        <v>1.9439999999999986</v>
      </c>
    </row>
    <row r="34" spans="1:5" s="3" customFormat="1" x14ac:dyDescent="0.45">
      <c r="A34" s="1">
        <v>44</v>
      </c>
      <c r="B34" s="3">
        <f t="shared" si="1"/>
        <v>65.249999999999957</v>
      </c>
      <c r="C34" s="5">
        <v>0.45</v>
      </c>
      <c r="D34" s="2">
        <v>0.03</v>
      </c>
      <c r="E34" s="5">
        <f t="shared" si="0"/>
        <v>1.9574999999999987</v>
      </c>
    </row>
    <row r="35" spans="1:5" s="3" customFormat="1" x14ac:dyDescent="0.45">
      <c r="A35" s="1">
        <v>45</v>
      </c>
      <c r="B35" s="3">
        <f t="shared" si="1"/>
        <v>65.69999999999996</v>
      </c>
      <c r="C35" s="5">
        <v>0.45</v>
      </c>
      <c r="D35" s="2">
        <v>0.03</v>
      </c>
      <c r="E35" s="5">
        <f t="shared" si="0"/>
        <v>1.9709999999999988</v>
      </c>
    </row>
    <row r="36" spans="1:5" s="3" customFormat="1" x14ac:dyDescent="0.45">
      <c r="A36" s="1">
        <v>46</v>
      </c>
      <c r="B36" s="3">
        <f t="shared" si="1"/>
        <v>66.149999999999963</v>
      </c>
      <c r="C36" s="5">
        <v>0.45</v>
      </c>
      <c r="D36" s="2">
        <v>0.03</v>
      </c>
      <c r="E36" s="5">
        <f t="shared" si="0"/>
        <v>1.9844999999999988</v>
      </c>
    </row>
    <row r="37" spans="1:5" s="3" customFormat="1" x14ac:dyDescent="0.45">
      <c r="A37" s="1">
        <v>47</v>
      </c>
      <c r="B37" s="3">
        <f t="shared" si="1"/>
        <v>66.599999999999966</v>
      </c>
      <c r="C37" s="5">
        <v>0.45</v>
      </c>
      <c r="D37" s="2">
        <v>0.03</v>
      </c>
      <c r="E37" s="5">
        <f t="shared" si="0"/>
        <v>1.9979999999999989</v>
      </c>
    </row>
    <row r="38" spans="1:5" s="3" customFormat="1" x14ac:dyDescent="0.45">
      <c r="A38" s="1">
        <v>48</v>
      </c>
      <c r="B38" s="3">
        <f t="shared" si="1"/>
        <v>67.049999999999969</v>
      </c>
      <c r="C38" s="5">
        <v>0.45</v>
      </c>
      <c r="D38" s="2">
        <v>0.03</v>
      </c>
      <c r="E38" s="5">
        <f t="shared" si="0"/>
        <v>2.011499999999999</v>
      </c>
    </row>
    <row r="39" spans="1:5" s="3" customFormat="1" x14ac:dyDescent="0.45">
      <c r="A39" s="1">
        <v>49</v>
      </c>
      <c r="B39" s="3">
        <f t="shared" si="1"/>
        <v>67.499999999999972</v>
      </c>
      <c r="C39" s="5">
        <v>0.45</v>
      </c>
      <c r="D39" s="2">
        <v>0.03</v>
      </c>
      <c r="E39" s="5">
        <f t="shared" si="0"/>
        <v>2.024999999999999</v>
      </c>
    </row>
    <row r="40" spans="1:5" s="3" customFormat="1" x14ac:dyDescent="0.45">
      <c r="A40" s="1">
        <v>50</v>
      </c>
      <c r="B40" s="3">
        <f t="shared" si="1"/>
        <v>67.949999999999974</v>
      </c>
      <c r="C40" s="5">
        <v>0.45</v>
      </c>
      <c r="D40" s="2">
        <v>0.03</v>
      </c>
      <c r="E40" s="5">
        <f t="shared" si="0"/>
        <v>2.0384999999999991</v>
      </c>
    </row>
    <row r="41" spans="1:5" s="3" customFormat="1" x14ac:dyDescent="0.45">
      <c r="A41" s="1">
        <v>51</v>
      </c>
      <c r="B41" s="3">
        <f t="shared" si="1"/>
        <v>68.399999999999977</v>
      </c>
      <c r="C41" s="5">
        <v>0.45</v>
      </c>
      <c r="D41" s="2">
        <v>0.03</v>
      </c>
      <c r="E41" s="5">
        <f t="shared" si="0"/>
        <v>2.0519999999999992</v>
      </c>
    </row>
    <row r="42" spans="1:5" s="3" customFormat="1" x14ac:dyDescent="0.45">
      <c r="A42" s="1">
        <v>52</v>
      </c>
      <c r="B42" s="3">
        <f t="shared" si="1"/>
        <v>68.84999999999998</v>
      </c>
      <c r="C42" s="5">
        <v>0.5</v>
      </c>
      <c r="D42" s="2">
        <v>0.03</v>
      </c>
      <c r="E42" s="5">
        <f t="shared" si="0"/>
        <v>2.0654999999999992</v>
      </c>
    </row>
    <row r="43" spans="1:5" s="3" customFormat="1" x14ac:dyDescent="0.45">
      <c r="A43" s="1">
        <v>53</v>
      </c>
      <c r="B43" s="3">
        <f t="shared" si="1"/>
        <v>69.34999999999998</v>
      </c>
      <c r="C43" s="5">
        <v>0.5</v>
      </c>
      <c r="D43" s="2">
        <v>0.03</v>
      </c>
      <c r="E43" s="5">
        <f t="shared" si="0"/>
        <v>2.0804999999999993</v>
      </c>
    </row>
    <row r="44" spans="1:5" s="3" customFormat="1" x14ac:dyDescent="0.45">
      <c r="A44" s="1">
        <v>54</v>
      </c>
      <c r="B44" s="3">
        <f t="shared" si="1"/>
        <v>69.84999999999998</v>
      </c>
      <c r="C44" s="5">
        <v>0.5</v>
      </c>
      <c r="D44" s="2">
        <v>0.03</v>
      </c>
      <c r="E44" s="5">
        <f t="shared" si="0"/>
        <v>2.0954999999999995</v>
      </c>
    </row>
    <row r="45" spans="1:5" s="3" customFormat="1" x14ac:dyDescent="0.45">
      <c r="A45" s="1">
        <v>55</v>
      </c>
      <c r="B45" s="3">
        <f t="shared" si="1"/>
        <v>70.34999999999998</v>
      </c>
      <c r="C45" s="5">
        <v>0.5</v>
      </c>
      <c r="D45" s="2">
        <v>0.03</v>
      </c>
      <c r="E45" s="5">
        <f t="shared" si="0"/>
        <v>2.1104999999999992</v>
      </c>
    </row>
    <row r="46" spans="1:5" s="3" customFormat="1" x14ac:dyDescent="0.45">
      <c r="A46" s="1">
        <v>56</v>
      </c>
      <c r="B46" s="3">
        <f t="shared" si="1"/>
        <v>70.84999999999998</v>
      </c>
      <c r="C46" s="5">
        <v>0.5</v>
      </c>
      <c r="D46" s="2">
        <v>0.03</v>
      </c>
      <c r="E46" s="5">
        <f t="shared" si="0"/>
        <v>2.1254999999999993</v>
      </c>
    </row>
    <row r="47" spans="1:5" s="3" customFormat="1" x14ac:dyDescent="0.45">
      <c r="A47" s="1">
        <v>57</v>
      </c>
      <c r="B47" s="3">
        <f t="shared" si="1"/>
        <v>71.34999999999998</v>
      </c>
      <c r="C47" s="5">
        <v>0.5</v>
      </c>
      <c r="D47" s="2">
        <v>0.03</v>
      </c>
      <c r="E47" s="5">
        <f t="shared" si="0"/>
        <v>2.1404999999999994</v>
      </c>
    </row>
    <row r="48" spans="1:5" s="3" customFormat="1" x14ac:dyDescent="0.45">
      <c r="A48" s="1">
        <v>58</v>
      </c>
      <c r="B48" s="3">
        <f t="shared" si="1"/>
        <v>71.84999999999998</v>
      </c>
      <c r="C48" s="5">
        <v>0.5</v>
      </c>
      <c r="D48" s="2">
        <v>0.03</v>
      </c>
      <c r="E48" s="5">
        <f t="shared" si="0"/>
        <v>2.1554999999999995</v>
      </c>
    </row>
    <row r="49" spans="1:5" s="3" customFormat="1" x14ac:dyDescent="0.45">
      <c r="A49" s="1">
        <v>59</v>
      </c>
      <c r="B49" s="3">
        <f t="shared" si="1"/>
        <v>72.34999999999998</v>
      </c>
      <c r="C49" s="5">
        <v>0.6</v>
      </c>
      <c r="D49" s="2">
        <v>0.03</v>
      </c>
      <c r="E49" s="5">
        <f t="shared" si="0"/>
        <v>2.1704999999999992</v>
      </c>
    </row>
    <row r="50" spans="1:5" s="3" customFormat="1" x14ac:dyDescent="0.45">
      <c r="A50" s="1">
        <v>60</v>
      </c>
      <c r="B50" s="3">
        <f t="shared" si="1"/>
        <v>72.949999999999974</v>
      </c>
      <c r="C50" s="5">
        <v>0.6</v>
      </c>
      <c r="D50" s="2">
        <v>0.03</v>
      </c>
      <c r="E50" s="5">
        <f t="shared" si="0"/>
        <v>2.188499999999999</v>
      </c>
    </row>
    <row r="51" spans="1:5" s="3" customFormat="1" x14ac:dyDescent="0.45">
      <c r="A51" s="1">
        <v>61</v>
      </c>
      <c r="B51" s="3">
        <f t="shared" si="1"/>
        <v>73.549999999999969</v>
      </c>
      <c r="C51" s="5">
        <v>0.6</v>
      </c>
      <c r="D51" s="2">
        <v>0.03</v>
      </c>
      <c r="E51" s="5">
        <f t="shared" si="0"/>
        <v>2.2064999999999988</v>
      </c>
    </row>
    <row r="52" spans="1:5" s="3" customFormat="1" x14ac:dyDescent="0.45">
      <c r="A52" s="1">
        <v>62</v>
      </c>
      <c r="B52" s="3">
        <f t="shared" si="1"/>
        <v>74.149999999999963</v>
      </c>
      <c r="C52" s="5">
        <v>0.6</v>
      </c>
      <c r="D52" s="2">
        <v>0.03</v>
      </c>
      <c r="E52" s="5">
        <f t="shared" si="0"/>
        <v>2.2244999999999986</v>
      </c>
    </row>
    <row r="53" spans="1:5" s="3" customFormat="1" x14ac:dyDescent="0.45">
      <c r="A53" s="1">
        <v>63</v>
      </c>
      <c r="B53" s="3">
        <f t="shared" si="1"/>
        <v>74.749999999999957</v>
      </c>
      <c r="C53" s="5">
        <v>0.6</v>
      </c>
      <c r="D53" s="2">
        <v>0.03</v>
      </c>
      <c r="E53" s="5">
        <f t="shared" si="0"/>
        <v>2.2424999999999988</v>
      </c>
    </row>
    <row r="54" spans="1:5" s="3" customFormat="1" x14ac:dyDescent="0.45">
      <c r="A54" s="1">
        <v>64</v>
      </c>
      <c r="B54" s="3">
        <f t="shared" si="1"/>
        <v>75.349999999999952</v>
      </c>
      <c r="C54" s="5">
        <v>0.6</v>
      </c>
      <c r="D54" s="2">
        <v>0.03</v>
      </c>
      <c r="E54" s="5">
        <f t="shared" si="0"/>
        <v>2.2604999999999986</v>
      </c>
    </row>
    <row r="55" spans="1:5" s="3" customFormat="1" x14ac:dyDescent="0.45">
      <c r="A55" s="1">
        <v>65</v>
      </c>
      <c r="B55" s="3">
        <f t="shared" si="1"/>
        <v>75.949999999999946</v>
      </c>
      <c r="C55" s="5">
        <v>0.6</v>
      </c>
      <c r="D55" s="2">
        <v>0.03</v>
      </c>
      <c r="E55" s="5">
        <f t="shared" si="0"/>
        <v>2.2784999999999984</v>
      </c>
    </row>
    <row r="56" spans="1:5" s="3" customFormat="1" x14ac:dyDescent="0.45">
      <c r="A56" s="1">
        <v>66</v>
      </c>
      <c r="B56" s="3">
        <f t="shared" si="1"/>
        <v>76.54999999999994</v>
      </c>
      <c r="C56" s="5">
        <v>0.6</v>
      </c>
      <c r="D56" s="2">
        <v>0.03</v>
      </c>
      <c r="E56" s="5">
        <f t="shared" si="0"/>
        <v>2.2964999999999982</v>
      </c>
    </row>
    <row r="57" spans="1:5" s="3" customFormat="1" x14ac:dyDescent="0.45">
      <c r="A57" s="1">
        <v>67</v>
      </c>
      <c r="B57" s="3">
        <f t="shared" si="1"/>
        <v>77.149999999999935</v>
      </c>
      <c r="C57" s="5">
        <v>0.6</v>
      </c>
      <c r="D57" s="2">
        <v>0.03</v>
      </c>
      <c r="E57" s="5">
        <f t="shared" si="0"/>
        <v>2.314499999999998</v>
      </c>
    </row>
    <row r="58" spans="1:5" s="3" customFormat="1" x14ac:dyDescent="0.45">
      <c r="A58" s="1">
        <v>68</v>
      </c>
      <c r="B58" s="3">
        <f t="shared" si="1"/>
        <v>77.749999999999929</v>
      </c>
      <c r="C58" s="5">
        <v>0.6</v>
      </c>
      <c r="D58" s="2">
        <v>0.03</v>
      </c>
      <c r="E58" s="5">
        <f t="shared" si="0"/>
        <v>2.3324999999999978</v>
      </c>
    </row>
    <row r="59" spans="1:5" s="3" customFormat="1" x14ac:dyDescent="0.45">
      <c r="A59" s="1">
        <v>69</v>
      </c>
      <c r="B59" s="3">
        <f t="shared" si="1"/>
        <v>78.349999999999923</v>
      </c>
      <c r="C59" s="5">
        <v>0.6</v>
      </c>
      <c r="D59" s="2">
        <v>0.03</v>
      </c>
      <c r="E59" s="5">
        <f t="shared" si="0"/>
        <v>2.3504999999999976</v>
      </c>
    </row>
    <row r="60" spans="1:5" s="3" customFormat="1" x14ac:dyDescent="0.45">
      <c r="A60" s="1">
        <v>70</v>
      </c>
      <c r="B60" s="3">
        <f t="shared" si="1"/>
        <v>78.949999999999918</v>
      </c>
      <c r="C60" s="5">
        <v>0.6</v>
      </c>
      <c r="D60" s="2">
        <v>0.03</v>
      </c>
      <c r="E60" s="5">
        <f t="shared" ref="E60:E69" si="2">+B60*D60</f>
        <v>2.3684999999999974</v>
      </c>
    </row>
    <row r="61" spans="1:5" s="3" customFormat="1" x14ac:dyDescent="0.45">
      <c r="A61" s="1">
        <v>71</v>
      </c>
      <c r="B61" s="3">
        <f t="shared" si="1"/>
        <v>79.549999999999912</v>
      </c>
      <c r="C61" s="5">
        <v>0.6</v>
      </c>
      <c r="D61" s="2">
        <v>0.03</v>
      </c>
      <c r="E61" s="5">
        <f t="shared" si="2"/>
        <v>2.3864999999999972</v>
      </c>
    </row>
    <row r="62" spans="1:5" s="3" customFormat="1" x14ac:dyDescent="0.45">
      <c r="A62" s="1">
        <v>72</v>
      </c>
      <c r="B62" s="3">
        <f t="shared" si="1"/>
        <v>80.149999999999906</v>
      </c>
      <c r="C62" s="5">
        <v>0.6</v>
      </c>
      <c r="D62" s="2">
        <v>0.03</v>
      </c>
      <c r="E62" s="5">
        <f t="shared" si="2"/>
        <v>2.404499999999997</v>
      </c>
    </row>
    <row r="63" spans="1:5" s="3" customFormat="1" x14ac:dyDescent="0.45">
      <c r="A63" s="1">
        <v>73</v>
      </c>
      <c r="B63" s="3">
        <f t="shared" si="1"/>
        <v>80.749999999999901</v>
      </c>
      <c r="C63" s="5">
        <v>0.6</v>
      </c>
      <c r="D63" s="2">
        <v>0.03</v>
      </c>
      <c r="E63" s="5">
        <f t="shared" si="2"/>
        <v>2.4224999999999968</v>
      </c>
    </row>
    <row r="64" spans="1:5" s="3" customFormat="1" x14ac:dyDescent="0.45">
      <c r="A64" s="1">
        <v>74</v>
      </c>
      <c r="B64" s="3">
        <f t="shared" si="1"/>
        <v>81.349999999999895</v>
      </c>
      <c r="C64" s="5">
        <v>0.6</v>
      </c>
      <c r="D64" s="2">
        <v>0.03</v>
      </c>
      <c r="E64" s="5">
        <f t="shared" si="2"/>
        <v>2.4404999999999966</v>
      </c>
    </row>
    <row r="65" spans="1:5" s="3" customFormat="1" x14ac:dyDescent="0.45">
      <c r="A65" s="1">
        <v>75</v>
      </c>
      <c r="B65" s="3">
        <f t="shared" si="1"/>
        <v>81.949999999999889</v>
      </c>
      <c r="C65" s="5">
        <v>0.6</v>
      </c>
      <c r="D65" s="2">
        <v>0.03</v>
      </c>
      <c r="E65" s="5">
        <f t="shared" si="2"/>
        <v>2.4584999999999968</v>
      </c>
    </row>
    <row r="66" spans="1:5" s="3" customFormat="1" x14ac:dyDescent="0.45">
      <c r="A66" s="1">
        <v>76</v>
      </c>
      <c r="B66" s="3">
        <f t="shared" si="1"/>
        <v>82.549999999999883</v>
      </c>
      <c r="C66" s="5">
        <v>0.6</v>
      </c>
      <c r="D66" s="2">
        <v>0.03</v>
      </c>
      <c r="E66" s="5">
        <f t="shared" si="2"/>
        <v>2.4764999999999966</v>
      </c>
    </row>
    <row r="67" spans="1:5" s="3" customFormat="1" x14ac:dyDescent="0.45">
      <c r="A67" s="1">
        <v>77</v>
      </c>
      <c r="B67" s="3">
        <f t="shared" si="1"/>
        <v>83.149999999999878</v>
      </c>
      <c r="C67" s="5">
        <v>0.6</v>
      </c>
      <c r="D67" s="2">
        <v>0.03</v>
      </c>
      <c r="E67" s="5">
        <f t="shared" si="2"/>
        <v>2.4944999999999964</v>
      </c>
    </row>
    <row r="68" spans="1:5" s="3" customFormat="1" x14ac:dyDescent="0.45">
      <c r="A68" s="1">
        <v>78</v>
      </c>
      <c r="B68" s="3">
        <f t="shared" si="1"/>
        <v>83.749999999999872</v>
      </c>
      <c r="C68" s="5">
        <v>0.6</v>
      </c>
      <c r="D68" s="2">
        <v>0.03</v>
      </c>
      <c r="E68" s="5">
        <f t="shared" si="2"/>
        <v>2.5124999999999962</v>
      </c>
    </row>
    <row r="69" spans="1:5" s="3" customFormat="1" x14ac:dyDescent="0.45">
      <c r="A69" s="1">
        <v>79</v>
      </c>
      <c r="B69" s="3">
        <f t="shared" si="1"/>
        <v>84.349999999999866</v>
      </c>
      <c r="C69" s="5">
        <v>0.6</v>
      </c>
      <c r="D69" s="2">
        <v>0.03</v>
      </c>
      <c r="E69" s="5">
        <f t="shared" si="2"/>
        <v>2.530499999999996</v>
      </c>
    </row>
    <row r="70" spans="1:5" s="3" customFormat="1" x14ac:dyDescent="0.45">
      <c r="A70" s="1">
        <v>80</v>
      </c>
      <c r="B70" s="3">
        <f t="shared" si="1"/>
        <v>84.949999999999861</v>
      </c>
      <c r="C70" s="5">
        <v>0.6</v>
      </c>
      <c r="D70" s="2">
        <v>0.03</v>
      </c>
      <c r="E70" s="5">
        <f t="shared" ref="E70:E79" si="3">+B70*D70</f>
        <v>2.5484999999999958</v>
      </c>
    </row>
    <row r="71" spans="1:5" s="3" customFormat="1" x14ac:dyDescent="0.45">
      <c r="A71" s="1">
        <v>81</v>
      </c>
      <c r="B71" s="3">
        <f t="shared" ref="B71:B79" si="4">+B70+C70</f>
        <v>85.549999999999855</v>
      </c>
      <c r="C71" s="5">
        <v>0.6</v>
      </c>
      <c r="D71" s="2">
        <v>0.03</v>
      </c>
      <c r="E71" s="5">
        <f t="shared" si="3"/>
        <v>2.5664999999999956</v>
      </c>
    </row>
    <row r="72" spans="1:5" s="3" customFormat="1" x14ac:dyDescent="0.45">
      <c r="A72" s="1">
        <v>82</v>
      </c>
      <c r="B72" s="3">
        <f t="shared" si="4"/>
        <v>86.149999999999849</v>
      </c>
      <c r="C72" s="5">
        <v>0.6</v>
      </c>
      <c r="D72" s="2">
        <v>0.03</v>
      </c>
      <c r="E72" s="5">
        <f t="shared" si="3"/>
        <v>2.5844999999999954</v>
      </c>
    </row>
    <row r="73" spans="1:5" s="3" customFormat="1" x14ac:dyDescent="0.45">
      <c r="A73" s="1">
        <v>83</v>
      </c>
      <c r="B73" s="3">
        <f t="shared" si="4"/>
        <v>86.749999999999844</v>
      </c>
      <c r="C73" s="5">
        <v>0.6</v>
      </c>
      <c r="D73" s="2">
        <v>0.03</v>
      </c>
      <c r="E73" s="5">
        <f t="shared" si="3"/>
        <v>2.6024999999999952</v>
      </c>
    </row>
    <row r="74" spans="1:5" s="3" customFormat="1" x14ac:dyDescent="0.45">
      <c r="A74" s="1">
        <v>84</v>
      </c>
      <c r="B74" s="3">
        <f t="shared" si="4"/>
        <v>87.349999999999838</v>
      </c>
      <c r="C74" s="5">
        <v>0.6</v>
      </c>
      <c r="D74" s="2">
        <v>0.03</v>
      </c>
      <c r="E74" s="5">
        <f t="shared" si="3"/>
        <v>2.6204999999999949</v>
      </c>
    </row>
    <row r="75" spans="1:5" s="3" customFormat="1" x14ac:dyDescent="0.45">
      <c r="A75" s="1">
        <v>85</v>
      </c>
      <c r="B75" s="3">
        <f t="shared" si="4"/>
        <v>87.949999999999832</v>
      </c>
      <c r="C75" s="5">
        <v>0.6</v>
      </c>
      <c r="D75" s="2">
        <v>0.03</v>
      </c>
      <c r="E75" s="5">
        <f t="shared" si="3"/>
        <v>2.6384999999999947</v>
      </c>
    </row>
    <row r="76" spans="1:5" s="3" customFormat="1" x14ac:dyDescent="0.45">
      <c r="A76" s="1">
        <v>86</v>
      </c>
      <c r="B76" s="3">
        <f t="shared" si="4"/>
        <v>88.549999999999827</v>
      </c>
      <c r="C76" s="5">
        <v>0.6</v>
      </c>
      <c r="D76" s="2">
        <v>0.03</v>
      </c>
      <c r="E76" s="5">
        <f t="shared" si="3"/>
        <v>2.6564999999999945</v>
      </c>
    </row>
    <row r="77" spans="1:5" s="3" customFormat="1" x14ac:dyDescent="0.45">
      <c r="A77" s="1">
        <v>87</v>
      </c>
      <c r="B77" s="3">
        <f t="shared" si="4"/>
        <v>89.149999999999821</v>
      </c>
      <c r="C77" s="5">
        <v>0.65</v>
      </c>
      <c r="D77" s="2">
        <v>0.03</v>
      </c>
      <c r="E77" s="5">
        <f t="shared" si="3"/>
        <v>2.6744999999999943</v>
      </c>
    </row>
    <row r="78" spans="1:5" s="3" customFormat="1" x14ac:dyDescent="0.45">
      <c r="A78" s="1">
        <v>88</v>
      </c>
      <c r="B78" s="3">
        <f t="shared" si="4"/>
        <v>89.799999999999827</v>
      </c>
      <c r="C78" s="5">
        <v>0.65</v>
      </c>
      <c r="D78" s="2">
        <v>0.03</v>
      </c>
      <c r="E78" s="5">
        <f t="shared" si="3"/>
        <v>2.6939999999999946</v>
      </c>
    </row>
    <row r="79" spans="1:5" s="3" customFormat="1" x14ac:dyDescent="0.45">
      <c r="A79" s="1">
        <v>89</v>
      </c>
      <c r="B79" s="3">
        <f t="shared" si="4"/>
        <v>90.449999999999832</v>
      </c>
      <c r="C79" s="5">
        <v>0.65</v>
      </c>
      <c r="D79" s="2">
        <v>0.03</v>
      </c>
      <c r="E79" s="5">
        <f t="shared" si="3"/>
        <v>2.7134999999999949</v>
      </c>
    </row>
    <row r="80" spans="1:5" s="3" customFormat="1" x14ac:dyDescent="0.45">
      <c r="A80" s="1">
        <v>90</v>
      </c>
      <c r="B80" s="3">
        <f t="shared" ref="B80:B140" si="5">+B79+C79</f>
        <v>91.099999999999838</v>
      </c>
      <c r="C80" s="5">
        <v>0.65</v>
      </c>
      <c r="D80" s="2">
        <v>0.03</v>
      </c>
      <c r="E80" s="5">
        <f t="shared" ref="E80:E140" si="6">+B80*D80</f>
        <v>2.7329999999999952</v>
      </c>
    </row>
    <row r="81" spans="1:5" s="3" customFormat="1" x14ac:dyDescent="0.45">
      <c r="A81" s="1">
        <v>91</v>
      </c>
      <c r="B81" s="3">
        <f t="shared" si="5"/>
        <v>91.749999999999844</v>
      </c>
      <c r="C81" s="5">
        <v>0.65</v>
      </c>
      <c r="D81" s="2">
        <v>0.03</v>
      </c>
      <c r="E81" s="5">
        <f t="shared" si="6"/>
        <v>2.7524999999999951</v>
      </c>
    </row>
    <row r="82" spans="1:5" s="3" customFormat="1" x14ac:dyDescent="0.45">
      <c r="A82" s="1">
        <v>92</v>
      </c>
      <c r="B82" s="3">
        <f t="shared" si="5"/>
        <v>92.399999999999849</v>
      </c>
      <c r="C82" s="5">
        <v>0.65</v>
      </c>
      <c r="D82" s="2">
        <v>0.03</v>
      </c>
      <c r="E82" s="5">
        <f t="shared" si="6"/>
        <v>2.7719999999999954</v>
      </c>
    </row>
    <row r="83" spans="1:5" s="3" customFormat="1" x14ac:dyDescent="0.45">
      <c r="A83" s="1">
        <v>93</v>
      </c>
      <c r="B83" s="3">
        <f t="shared" si="5"/>
        <v>93.049999999999855</v>
      </c>
      <c r="C83" s="5">
        <v>0.65</v>
      </c>
      <c r="D83" s="2">
        <v>0.03</v>
      </c>
      <c r="E83" s="5">
        <f t="shared" si="6"/>
        <v>2.7914999999999957</v>
      </c>
    </row>
    <row r="84" spans="1:5" s="3" customFormat="1" x14ac:dyDescent="0.45">
      <c r="A84" s="1">
        <v>94</v>
      </c>
      <c r="B84" s="3">
        <f t="shared" si="5"/>
        <v>93.699999999999861</v>
      </c>
      <c r="C84" s="5">
        <v>0.65</v>
      </c>
      <c r="D84" s="2">
        <v>0.03</v>
      </c>
      <c r="E84" s="5">
        <f t="shared" si="6"/>
        <v>2.8109999999999955</v>
      </c>
    </row>
    <row r="85" spans="1:5" s="3" customFormat="1" x14ac:dyDescent="0.45">
      <c r="A85" s="1">
        <v>95</v>
      </c>
      <c r="B85" s="3">
        <f t="shared" si="5"/>
        <v>94.349999999999866</v>
      </c>
      <c r="C85" s="5">
        <v>0.65</v>
      </c>
      <c r="D85" s="2">
        <v>0.03</v>
      </c>
      <c r="E85" s="5">
        <f t="shared" si="6"/>
        <v>2.8304999999999958</v>
      </c>
    </row>
    <row r="86" spans="1:5" s="3" customFormat="1" x14ac:dyDescent="0.45">
      <c r="A86" s="1">
        <v>96</v>
      </c>
      <c r="B86" s="3">
        <f t="shared" si="5"/>
        <v>94.999999999999872</v>
      </c>
      <c r="C86" s="5">
        <v>0.65</v>
      </c>
      <c r="D86" s="2">
        <v>0.03</v>
      </c>
      <c r="E86" s="5">
        <f t="shared" si="6"/>
        <v>2.8499999999999961</v>
      </c>
    </row>
    <row r="87" spans="1:5" s="3" customFormat="1" x14ac:dyDescent="0.45">
      <c r="A87" s="1">
        <v>97</v>
      </c>
      <c r="B87" s="3">
        <f t="shared" si="5"/>
        <v>95.649999999999878</v>
      </c>
      <c r="C87" s="5">
        <v>0.65</v>
      </c>
      <c r="D87" s="2">
        <v>0.03</v>
      </c>
      <c r="E87" s="5">
        <f t="shared" si="6"/>
        <v>2.8694999999999964</v>
      </c>
    </row>
    <row r="88" spans="1:5" s="3" customFormat="1" x14ac:dyDescent="0.45">
      <c r="A88" s="1">
        <v>98</v>
      </c>
      <c r="B88" s="3">
        <f t="shared" si="5"/>
        <v>96.299999999999883</v>
      </c>
      <c r="C88" s="5">
        <v>0.65</v>
      </c>
      <c r="D88" s="2">
        <v>0.03</v>
      </c>
      <c r="E88" s="5">
        <f t="shared" si="6"/>
        <v>2.8889999999999962</v>
      </c>
    </row>
    <row r="89" spans="1:5" s="3" customFormat="1" x14ac:dyDescent="0.45">
      <c r="A89" s="1">
        <v>99</v>
      </c>
      <c r="B89" s="3">
        <f t="shared" si="5"/>
        <v>96.949999999999889</v>
      </c>
      <c r="C89" s="5">
        <v>0.65</v>
      </c>
      <c r="D89" s="2">
        <v>0.03</v>
      </c>
      <c r="E89" s="5">
        <f t="shared" si="6"/>
        <v>2.9084999999999965</v>
      </c>
    </row>
    <row r="90" spans="1:5" s="3" customFormat="1" x14ac:dyDescent="0.45">
      <c r="A90" s="1">
        <v>100</v>
      </c>
      <c r="B90" s="3">
        <f t="shared" si="5"/>
        <v>97.599999999999895</v>
      </c>
      <c r="C90" s="5">
        <v>0.65</v>
      </c>
      <c r="D90" s="2">
        <v>0.03</v>
      </c>
      <c r="E90" s="5">
        <f t="shared" si="6"/>
        <v>2.9279999999999968</v>
      </c>
    </row>
    <row r="91" spans="1:5" s="3" customFormat="1" x14ac:dyDescent="0.45">
      <c r="A91" s="1">
        <v>101</v>
      </c>
      <c r="B91" s="3">
        <f t="shared" si="5"/>
        <v>98.249999999999901</v>
      </c>
      <c r="C91" s="5">
        <v>0.65</v>
      </c>
      <c r="D91" s="2">
        <v>0.03</v>
      </c>
      <c r="E91" s="5">
        <f t="shared" si="6"/>
        <v>2.9474999999999971</v>
      </c>
    </row>
    <row r="92" spans="1:5" s="3" customFormat="1" x14ac:dyDescent="0.45">
      <c r="A92" s="1">
        <v>102</v>
      </c>
      <c r="B92" s="3">
        <f t="shared" si="5"/>
        <v>98.899999999999906</v>
      </c>
      <c r="C92" s="5">
        <v>0.65</v>
      </c>
      <c r="D92" s="2">
        <v>0.03</v>
      </c>
      <c r="E92" s="5">
        <f t="shared" si="6"/>
        <v>2.966999999999997</v>
      </c>
    </row>
    <row r="93" spans="1:5" s="3" customFormat="1" x14ac:dyDescent="0.45">
      <c r="A93" s="1">
        <v>103</v>
      </c>
      <c r="B93" s="3">
        <f t="shared" si="5"/>
        <v>99.549999999999912</v>
      </c>
      <c r="C93" s="5">
        <v>0.65</v>
      </c>
      <c r="D93" s="2">
        <v>0.03</v>
      </c>
      <c r="E93" s="5">
        <f t="shared" si="6"/>
        <v>2.9864999999999973</v>
      </c>
    </row>
    <row r="94" spans="1:5" s="3" customFormat="1" x14ac:dyDescent="0.45">
      <c r="A94" s="1">
        <v>104</v>
      </c>
      <c r="B94" s="3">
        <f t="shared" si="5"/>
        <v>100.19999999999992</v>
      </c>
      <c r="C94" s="5">
        <v>0.65</v>
      </c>
      <c r="D94" s="2">
        <v>0.03</v>
      </c>
      <c r="E94" s="5">
        <f t="shared" si="6"/>
        <v>3.0059999999999976</v>
      </c>
    </row>
    <row r="95" spans="1:5" s="3" customFormat="1" x14ac:dyDescent="0.45">
      <c r="A95" s="1">
        <v>105</v>
      </c>
      <c r="B95" s="3">
        <f t="shared" si="5"/>
        <v>100.84999999999992</v>
      </c>
      <c r="C95" s="5">
        <v>0.65</v>
      </c>
      <c r="D95" s="2">
        <v>0.03</v>
      </c>
      <c r="E95" s="5">
        <f t="shared" si="6"/>
        <v>3.0254999999999974</v>
      </c>
    </row>
    <row r="96" spans="1:5" s="3" customFormat="1" x14ac:dyDescent="0.45">
      <c r="A96" s="1">
        <v>106</v>
      </c>
      <c r="B96" s="3">
        <f t="shared" si="5"/>
        <v>101.49999999999993</v>
      </c>
      <c r="C96" s="5">
        <v>0.65</v>
      </c>
      <c r="D96" s="2">
        <v>0.03</v>
      </c>
      <c r="E96" s="5">
        <f t="shared" si="6"/>
        <v>3.0449999999999977</v>
      </c>
    </row>
    <row r="97" spans="1:5" s="3" customFormat="1" x14ac:dyDescent="0.45">
      <c r="A97" s="1">
        <v>107</v>
      </c>
      <c r="B97" s="3">
        <f t="shared" si="5"/>
        <v>102.14999999999993</v>
      </c>
      <c r="C97" s="5">
        <v>0.65</v>
      </c>
      <c r="D97" s="2">
        <v>0.03</v>
      </c>
      <c r="E97" s="5">
        <f t="shared" si="6"/>
        <v>3.064499999999998</v>
      </c>
    </row>
    <row r="98" spans="1:5" s="3" customFormat="1" x14ac:dyDescent="0.45">
      <c r="A98" s="1">
        <v>108</v>
      </c>
      <c r="B98" s="3">
        <f t="shared" si="5"/>
        <v>102.79999999999994</v>
      </c>
      <c r="C98" s="5">
        <v>0.65</v>
      </c>
      <c r="D98" s="2">
        <v>0.03</v>
      </c>
      <c r="E98" s="5">
        <f t="shared" si="6"/>
        <v>3.0839999999999983</v>
      </c>
    </row>
    <row r="99" spans="1:5" s="3" customFormat="1" x14ac:dyDescent="0.45">
      <c r="A99" s="1">
        <v>109</v>
      </c>
      <c r="B99" s="3">
        <f t="shared" si="5"/>
        <v>103.44999999999995</v>
      </c>
      <c r="C99" s="5">
        <v>0.65</v>
      </c>
      <c r="D99" s="2">
        <v>0.03</v>
      </c>
      <c r="E99" s="5">
        <f t="shared" si="6"/>
        <v>3.1034999999999981</v>
      </c>
    </row>
    <row r="100" spans="1:5" s="3" customFormat="1" x14ac:dyDescent="0.45">
      <c r="A100" s="1">
        <v>110</v>
      </c>
      <c r="B100" s="3">
        <f t="shared" si="5"/>
        <v>104.09999999999995</v>
      </c>
      <c r="C100" s="5">
        <v>0.65</v>
      </c>
      <c r="D100" s="2">
        <v>0.03</v>
      </c>
      <c r="E100" s="5">
        <f t="shared" si="6"/>
        <v>3.1229999999999984</v>
      </c>
    </row>
    <row r="101" spans="1:5" s="3" customFormat="1" x14ac:dyDescent="0.45">
      <c r="A101" s="1">
        <v>111</v>
      </c>
      <c r="B101" s="3">
        <f t="shared" si="5"/>
        <v>104.74999999999996</v>
      </c>
      <c r="C101" s="5">
        <v>0.65</v>
      </c>
      <c r="D101" s="2">
        <v>0.03</v>
      </c>
      <c r="E101" s="5">
        <f t="shared" si="6"/>
        <v>3.1424999999999987</v>
      </c>
    </row>
    <row r="102" spans="1:5" s="3" customFormat="1" x14ac:dyDescent="0.45">
      <c r="A102" s="1">
        <v>112</v>
      </c>
      <c r="B102" s="3">
        <f t="shared" si="5"/>
        <v>105.39999999999996</v>
      </c>
      <c r="C102" s="5">
        <v>0.7</v>
      </c>
      <c r="D102" s="2">
        <v>0.03</v>
      </c>
      <c r="E102" s="5">
        <f t="shared" si="6"/>
        <v>3.1619999999999986</v>
      </c>
    </row>
    <row r="103" spans="1:5" s="3" customFormat="1" x14ac:dyDescent="0.45">
      <c r="A103" s="1">
        <v>113</v>
      </c>
      <c r="B103" s="3">
        <f t="shared" si="5"/>
        <v>106.09999999999997</v>
      </c>
      <c r="C103" s="5">
        <v>0.7</v>
      </c>
      <c r="D103" s="2">
        <v>0.03</v>
      </c>
      <c r="E103" s="5">
        <f t="shared" si="6"/>
        <v>3.1829999999999989</v>
      </c>
    </row>
    <row r="104" spans="1:5" s="3" customFormat="1" x14ac:dyDescent="0.45">
      <c r="A104" s="1">
        <v>114</v>
      </c>
      <c r="B104" s="3">
        <f t="shared" si="5"/>
        <v>106.79999999999997</v>
      </c>
      <c r="C104" s="5">
        <v>0.7</v>
      </c>
      <c r="D104" s="2">
        <v>0.03</v>
      </c>
      <c r="E104" s="5">
        <f t="shared" si="6"/>
        <v>3.2039999999999988</v>
      </c>
    </row>
    <row r="105" spans="1:5" s="3" customFormat="1" x14ac:dyDescent="0.45">
      <c r="A105" s="1">
        <v>115</v>
      </c>
      <c r="B105" s="3">
        <f t="shared" si="5"/>
        <v>107.49999999999997</v>
      </c>
      <c r="C105" s="5">
        <v>0.7</v>
      </c>
      <c r="D105" s="2">
        <v>0.03</v>
      </c>
      <c r="E105" s="5">
        <f t="shared" si="6"/>
        <v>3.2249999999999992</v>
      </c>
    </row>
    <row r="106" spans="1:5" s="3" customFormat="1" x14ac:dyDescent="0.45">
      <c r="A106" s="1">
        <v>116</v>
      </c>
      <c r="B106" s="3">
        <f t="shared" si="5"/>
        <v>108.19999999999997</v>
      </c>
      <c r="C106" s="5">
        <v>0.7</v>
      </c>
      <c r="D106" s="2">
        <v>0.03</v>
      </c>
      <c r="E106" s="5">
        <f t="shared" si="6"/>
        <v>3.2459999999999991</v>
      </c>
    </row>
    <row r="107" spans="1:5" s="3" customFormat="1" x14ac:dyDescent="0.45">
      <c r="A107" s="1">
        <v>117</v>
      </c>
      <c r="B107" s="3">
        <f t="shared" si="5"/>
        <v>108.89999999999998</v>
      </c>
      <c r="C107" s="5">
        <v>0.7</v>
      </c>
      <c r="D107" s="2">
        <v>0.03</v>
      </c>
      <c r="E107" s="5">
        <f t="shared" si="6"/>
        <v>3.266999999999999</v>
      </c>
    </row>
    <row r="108" spans="1:5" s="3" customFormat="1" x14ac:dyDescent="0.45">
      <c r="A108" s="1">
        <v>118</v>
      </c>
      <c r="B108" s="3">
        <f t="shared" si="5"/>
        <v>109.59999999999998</v>
      </c>
      <c r="C108" s="5">
        <v>0.7</v>
      </c>
      <c r="D108" s="2">
        <v>0.03</v>
      </c>
      <c r="E108" s="5">
        <f t="shared" si="6"/>
        <v>3.2879999999999994</v>
      </c>
    </row>
    <row r="109" spans="1:5" s="3" customFormat="1" x14ac:dyDescent="0.45">
      <c r="A109" s="1">
        <v>119</v>
      </c>
      <c r="B109" s="3">
        <f t="shared" si="5"/>
        <v>110.29999999999998</v>
      </c>
      <c r="C109" s="5">
        <v>0.7</v>
      </c>
      <c r="D109" s="2">
        <v>0.03</v>
      </c>
      <c r="E109" s="5">
        <f t="shared" si="6"/>
        <v>3.3089999999999993</v>
      </c>
    </row>
    <row r="110" spans="1:5" s="3" customFormat="1" x14ac:dyDescent="0.45">
      <c r="A110" s="1">
        <v>120</v>
      </c>
      <c r="B110" s="3">
        <f t="shared" si="5"/>
        <v>110.99999999999999</v>
      </c>
      <c r="C110" s="5">
        <v>0.7</v>
      </c>
      <c r="D110" s="2">
        <v>0.03</v>
      </c>
      <c r="E110" s="5">
        <f t="shared" si="6"/>
        <v>3.3299999999999996</v>
      </c>
    </row>
    <row r="111" spans="1:5" s="3" customFormat="1" x14ac:dyDescent="0.45">
      <c r="A111" s="1">
        <v>121</v>
      </c>
      <c r="B111" s="3">
        <f t="shared" si="5"/>
        <v>111.69999999999999</v>
      </c>
      <c r="C111" s="5">
        <v>0.7</v>
      </c>
      <c r="D111" s="2">
        <v>0.03</v>
      </c>
      <c r="E111" s="5">
        <f t="shared" si="6"/>
        <v>3.3509999999999995</v>
      </c>
    </row>
    <row r="112" spans="1:5" s="3" customFormat="1" x14ac:dyDescent="0.45">
      <c r="A112" s="1">
        <v>122</v>
      </c>
      <c r="B112" s="3">
        <f t="shared" si="5"/>
        <v>112.39999999999999</v>
      </c>
      <c r="C112" s="5">
        <v>0.7</v>
      </c>
      <c r="D112" s="2">
        <v>0.03</v>
      </c>
      <c r="E112" s="5">
        <f t="shared" si="6"/>
        <v>3.3719999999999994</v>
      </c>
    </row>
    <row r="113" spans="1:5" s="3" customFormat="1" x14ac:dyDescent="0.45">
      <c r="A113" s="1">
        <v>123</v>
      </c>
      <c r="B113" s="3">
        <f t="shared" si="5"/>
        <v>113.1</v>
      </c>
      <c r="C113" s="5">
        <v>0.7</v>
      </c>
      <c r="D113" s="2">
        <v>0.03</v>
      </c>
      <c r="E113" s="5">
        <f t="shared" si="6"/>
        <v>3.3929999999999998</v>
      </c>
    </row>
    <row r="114" spans="1:5" s="3" customFormat="1" x14ac:dyDescent="0.45">
      <c r="A114" s="1">
        <v>124</v>
      </c>
      <c r="B114" s="3">
        <f t="shared" si="5"/>
        <v>113.8</v>
      </c>
      <c r="C114" s="5">
        <v>0.7</v>
      </c>
      <c r="D114" s="2">
        <v>0.03</v>
      </c>
      <c r="E114" s="5">
        <f t="shared" si="6"/>
        <v>3.4139999999999997</v>
      </c>
    </row>
    <row r="115" spans="1:5" s="3" customFormat="1" x14ac:dyDescent="0.45">
      <c r="A115" s="1">
        <v>125</v>
      </c>
      <c r="B115" s="3">
        <f t="shared" si="5"/>
        <v>114.5</v>
      </c>
      <c r="C115" s="5">
        <v>0.7</v>
      </c>
      <c r="D115" s="2">
        <v>0.03</v>
      </c>
      <c r="E115" s="5">
        <f t="shared" si="6"/>
        <v>3.4350000000000001</v>
      </c>
    </row>
    <row r="116" spans="1:5" s="3" customFormat="1" x14ac:dyDescent="0.45">
      <c r="A116" s="1">
        <v>126</v>
      </c>
      <c r="B116" s="3">
        <f t="shared" si="5"/>
        <v>115.2</v>
      </c>
      <c r="C116" s="5">
        <v>0.7</v>
      </c>
      <c r="D116" s="2">
        <v>0.03</v>
      </c>
      <c r="E116" s="5">
        <f t="shared" si="6"/>
        <v>3.456</v>
      </c>
    </row>
    <row r="117" spans="1:5" s="3" customFormat="1" x14ac:dyDescent="0.45">
      <c r="A117" s="1">
        <v>127</v>
      </c>
      <c r="B117" s="3">
        <f t="shared" si="5"/>
        <v>115.9</v>
      </c>
      <c r="C117" s="5">
        <v>0.7</v>
      </c>
      <c r="D117" s="2">
        <v>0.03</v>
      </c>
      <c r="E117" s="5">
        <f t="shared" si="6"/>
        <v>3.4769999999999999</v>
      </c>
    </row>
    <row r="118" spans="1:5" s="3" customFormat="1" x14ac:dyDescent="0.45">
      <c r="A118" s="1">
        <v>128</v>
      </c>
      <c r="B118" s="3">
        <f t="shared" si="5"/>
        <v>116.60000000000001</v>
      </c>
      <c r="C118" s="5">
        <v>0.7</v>
      </c>
      <c r="D118" s="2">
        <v>0.03</v>
      </c>
      <c r="E118" s="5">
        <f t="shared" si="6"/>
        <v>3.4980000000000002</v>
      </c>
    </row>
    <row r="119" spans="1:5" s="3" customFormat="1" x14ac:dyDescent="0.45">
      <c r="A119" s="1">
        <v>129</v>
      </c>
      <c r="B119" s="3">
        <f t="shared" si="5"/>
        <v>117.30000000000001</v>
      </c>
      <c r="C119" s="5">
        <v>0.7</v>
      </c>
      <c r="D119" s="2">
        <v>0.03</v>
      </c>
      <c r="E119" s="5">
        <f t="shared" si="6"/>
        <v>3.5190000000000001</v>
      </c>
    </row>
    <row r="120" spans="1:5" s="3" customFormat="1" x14ac:dyDescent="0.45">
      <c r="A120" s="1">
        <v>130</v>
      </c>
      <c r="B120" s="3">
        <f t="shared" si="5"/>
        <v>118.00000000000001</v>
      </c>
      <c r="C120" s="5">
        <v>0.7</v>
      </c>
      <c r="D120" s="2">
        <v>0.03</v>
      </c>
      <c r="E120" s="5">
        <f t="shared" si="6"/>
        <v>3.5400000000000005</v>
      </c>
    </row>
    <row r="121" spans="1:5" s="3" customFormat="1" x14ac:dyDescent="0.45">
      <c r="A121" s="1">
        <v>131</v>
      </c>
      <c r="B121" s="3">
        <f t="shared" si="5"/>
        <v>118.70000000000002</v>
      </c>
      <c r="C121" s="5">
        <v>0.7</v>
      </c>
      <c r="D121" s="2">
        <v>0.03</v>
      </c>
      <c r="E121" s="5">
        <f t="shared" si="6"/>
        <v>3.5610000000000004</v>
      </c>
    </row>
    <row r="122" spans="1:5" s="3" customFormat="1" x14ac:dyDescent="0.45">
      <c r="A122" s="1">
        <v>132</v>
      </c>
      <c r="B122" s="3">
        <f t="shared" si="5"/>
        <v>119.40000000000002</v>
      </c>
      <c r="C122" s="5">
        <v>0.7</v>
      </c>
      <c r="D122" s="2">
        <v>0.03</v>
      </c>
      <c r="E122" s="5">
        <f t="shared" si="6"/>
        <v>3.5820000000000003</v>
      </c>
    </row>
    <row r="123" spans="1:5" s="3" customFormat="1" x14ac:dyDescent="0.45">
      <c r="A123" s="1">
        <v>133</v>
      </c>
      <c r="B123" s="3">
        <f t="shared" si="5"/>
        <v>120.10000000000002</v>
      </c>
      <c r="C123" s="5">
        <v>0.7</v>
      </c>
      <c r="D123" s="2">
        <v>0.03</v>
      </c>
      <c r="E123" s="5">
        <f t="shared" si="6"/>
        <v>3.6030000000000006</v>
      </c>
    </row>
    <row r="124" spans="1:5" s="3" customFormat="1" x14ac:dyDescent="0.45">
      <c r="A124" s="1">
        <v>134</v>
      </c>
      <c r="B124" s="3">
        <f t="shared" si="5"/>
        <v>120.80000000000003</v>
      </c>
      <c r="C124" s="5">
        <v>0.7</v>
      </c>
      <c r="D124" s="2">
        <v>0.03</v>
      </c>
      <c r="E124" s="5">
        <f t="shared" si="6"/>
        <v>3.6240000000000006</v>
      </c>
    </row>
    <row r="125" spans="1:5" s="3" customFormat="1" x14ac:dyDescent="0.45">
      <c r="A125" s="1">
        <v>135</v>
      </c>
      <c r="B125" s="3">
        <f t="shared" si="5"/>
        <v>121.50000000000003</v>
      </c>
      <c r="C125" s="5">
        <v>0.7</v>
      </c>
      <c r="D125" s="2">
        <v>0.03</v>
      </c>
      <c r="E125" s="5">
        <f t="shared" si="6"/>
        <v>3.6450000000000009</v>
      </c>
    </row>
    <row r="126" spans="1:5" s="3" customFormat="1" x14ac:dyDescent="0.45">
      <c r="A126" s="1">
        <v>136</v>
      </c>
      <c r="B126" s="3">
        <f t="shared" si="5"/>
        <v>122.20000000000003</v>
      </c>
      <c r="C126" s="5">
        <v>0.7</v>
      </c>
      <c r="D126" s="2">
        <v>0.03</v>
      </c>
      <c r="E126" s="5">
        <f t="shared" si="6"/>
        <v>3.6660000000000008</v>
      </c>
    </row>
    <row r="127" spans="1:5" s="3" customFormat="1" x14ac:dyDescent="0.45">
      <c r="A127" s="1">
        <v>137</v>
      </c>
      <c r="B127" s="3">
        <f t="shared" si="5"/>
        <v>122.90000000000003</v>
      </c>
      <c r="C127" s="5">
        <v>0.7</v>
      </c>
      <c r="D127" s="2">
        <v>0.03</v>
      </c>
      <c r="E127" s="5">
        <f t="shared" si="6"/>
        <v>3.6870000000000007</v>
      </c>
    </row>
    <row r="128" spans="1:5" s="3" customFormat="1" x14ac:dyDescent="0.45">
      <c r="A128" s="1">
        <v>138</v>
      </c>
      <c r="B128" s="3">
        <f t="shared" si="5"/>
        <v>123.60000000000004</v>
      </c>
      <c r="C128" s="5">
        <v>0.7</v>
      </c>
      <c r="D128" s="2">
        <v>0.03</v>
      </c>
      <c r="E128" s="5">
        <f t="shared" si="6"/>
        <v>3.7080000000000011</v>
      </c>
    </row>
    <row r="129" spans="1:5" s="3" customFormat="1" x14ac:dyDescent="0.45">
      <c r="A129" s="1">
        <v>139</v>
      </c>
      <c r="B129" s="3">
        <f t="shared" si="5"/>
        <v>124.30000000000004</v>
      </c>
      <c r="C129" s="5">
        <v>0.7</v>
      </c>
      <c r="D129" s="2">
        <v>0.03</v>
      </c>
      <c r="E129" s="5">
        <f t="shared" si="6"/>
        <v>3.729000000000001</v>
      </c>
    </row>
    <row r="130" spans="1:5" s="3" customFormat="1" x14ac:dyDescent="0.45">
      <c r="A130" s="1">
        <v>140</v>
      </c>
      <c r="B130" s="3">
        <f t="shared" si="5"/>
        <v>125.00000000000004</v>
      </c>
      <c r="C130" s="5">
        <v>0.7</v>
      </c>
      <c r="D130" s="2">
        <v>0.03</v>
      </c>
      <c r="E130" s="5">
        <f t="shared" si="6"/>
        <v>3.7500000000000013</v>
      </c>
    </row>
    <row r="131" spans="1:5" s="3" customFormat="1" x14ac:dyDescent="0.45">
      <c r="A131" s="1">
        <v>141</v>
      </c>
      <c r="B131" s="3">
        <f t="shared" si="5"/>
        <v>125.70000000000005</v>
      </c>
      <c r="C131" s="5">
        <v>0.7</v>
      </c>
      <c r="D131" s="2">
        <v>0.03</v>
      </c>
      <c r="E131" s="5">
        <f t="shared" si="6"/>
        <v>3.7710000000000012</v>
      </c>
    </row>
    <row r="132" spans="1:5" s="3" customFormat="1" x14ac:dyDescent="0.45">
      <c r="A132" s="1">
        <v>142</v>
      </c>
      <c r="B132" s="3">
        <f t="shared" si="5"/>
        <v>126.40000000000005</v>
      </c>
      <c r="C132" s="5">
        <v>0.7</v>
      </c>
      <c r="D132" s="2">
        <v>0.03</v>
      </c>
      <c r="E132" s="5">
        <f t="shared" si="6"/>
        <v>3.7920000000000011</v>
      </c>
    </row>
    <row r="133" spans="1:5" s="3" customFormat="1" x14ac:dyDescent="0.45">
      <c r="A133" s="1">
        <v>143</v>
      </c>
      <c r="B133" s="3">
        <f t="shared" si="5"/>
        <v>127.10000000000005</v>
      </c>
      <c r="C133" s="5">
        <v>0.7</v>
      </c>
      <c r="D133" s="2">
        <v>0.03</v>
      </c>
      <c r="E133" s="5">
        <f t="shared" si="6"/>
        <v>3.8130000000000015</v>
      </c>
    </row>
    <row r="134" spans="1:5" s="3" customFormat="1" x14ac:dyDescent="0.45">
      <c r="A134" s="1">
        <v>144</v>
      </c>
      <c r="B134" s="3">
        <f t="shared" si="5"/>
        <v>127.80000000000005</v>
      </c>
      <c r="C134" s="5">
        <v>0.7</v>
      </c>
      <c r="D134" s="2">
        <v>0.03</v>
      </c>
      <c r="E134" s="5">
        <f t="shared" si="6"/>
        <v>3.8340000000000014</v>
      </c>
    </row>
    <row r="135" spans="1:5" s="3" customFormat="1" x14ac:dyDescent="0.45">
      <c r="A135" s="1">
        <v>145</v>
      </c>
      <c r="B135" s="3">
        <f t="shared" si="5"/>
        <v>128.50000000000006</v>
      </c>
      <c r="C135" s="5">
        <v>0.7</v>
      </c>
      <c r="D135" s="2">
        <v>0.03</v>
      </c>
      <c r="E135" s="5">
        <f t="shared" si="6"/>
        <v>3.8550000000000018</v>
      </c>
    </row>
    <row r="136" spans="1:5" s="3" customFormat="1" x14ac:dyDescent="0.45">
      <c r="A136" s="1">
        <v>146</v>
      </c>
      <c r="B136" s="3">
        <f t="shared" si="5"/>
        <v>129.20000000000005</v>
      </c>
      <c r="C136" s="5">
        <v>0.7</v>
      </c>
      <c r="D136" s="2">
        <v>0.03</v>
      </c>
      <c r="E136" s="5">
        <f t="shared" si="6"/>
        <v>3.8760000000000012</v>
      </c>
    </row>
    <row r="137" spans="1:5" s="3" customFormat="1" x14ac:dyDescent="0.45">
      <c r="A137" s="1">
        <v>147</v>
      </c>
      <c r="B137" s="3">
        <f t="shared" si="5"/>
        <v>129.90000000000003</v>
      </c>
      <c r="C137" s="5">
        <v>0.7</v>
      </c>
      <c r="D137" s="2">
        <v>0.03</v>
      </c>
      <c r="E137" s="5">
        <f t="shared" si="6"/>
        <v>3.8970000000000007</v>
      </c>
    </row>
    <row r="138" spans="1:5" s="3" customFormat="1" x14ac:dyDescent="0.45">
      <c r="A138" s="1">
        <v>148</v>
      </c>
      <c r="B138" s="3">
        <f t="shared" si="5"/>
        <v>130.60000000000002</v>
      </c>
      <c r="C138" s="5">
        <v>0.7</v>
      </c>
      <c r="D138" s="2">
        <v>0.03</v>
      </c>
      <c r="E138" s="5">
        <f t="shared" si="6"/>
        <v>3.9180000000000006</v>
      </c>
    </row>
    <row r="139" spans="1:5" s="3" customFormat="1" x14ac:dyDescent="0.45">
      <c r="A139" s="1">
        <v>149</v>
      </c>
      <c r="B139" s="3">
        <f t="shared" si="5"/>
        <v>131.30000000000001</v>
      </c>
      <c r="C139" s="5">
        <v>0.7</v>
      </c>
      <c r="D139" s="2">
        <v>0.03</v>
      </c>
      <c r="E139" s="5">
        <f t="shared" si="6"/>
        <v>3.9390000000000001</v>
      </c>
    </row>
    <row r="140" spans="1:5" s="3" customFormat="1" x14ac:dyDescent="0.45">
      <c r="A140" s="1">
        <v>150</v>
      </c>
      <c r="B140" s="3">
        <f t="shared" si="5"/>
        <v>132</v>
      </c>
      <c r="C140" s="5">
        <v>0.7</v>
      </c>
      <c r="D140" s="2">
        <v>0.03</v>
      </c>
      <c r="E140" s="5">
        <f t="shared" si="6"/>
        <v>3.96</v>
      </c>
    </row>
    <row r="141" spans="1:5" s="3" customFormat="1" ht="5.0999999999999996" customHeight="1" x14ac:dyDescent="0.45">
      <c r="A141" s="1"/>
      <c r="C141" s="5"/>
      <c r="D141" s="2"/>
      <c r="E141" s="5"/>
    </row>
    <row r="142" spans="1:5" s="3" customFormat="1" ht="5.0999999999999996" customHeight="1" x14ac:dyDescent="0.45">
      <c r="A142" s="9"/>
      <c r="B142" s="4"/>
      <c r="C142" s="8"/>
      <c r="D142" s="9"/>
      <c r="E142" s="8"/>
    </row>
    <row r="143" spans="1:5" x14ac:dyDescent="0.45">
      <c r="D143" s="1" t="s">
        <v>17</v>
      </c>
      <c r="E143" s="5">
        <f>SUM(E6:E142)</f>
        <v>355.68999999999977</v>
      </c>
    </row>
    <row r="144" spans="1:5" x14ac:dyDescent="0.45">
      <c r="D144" s="1" t="s">
        <v>18</v>
      </c>
      <c r="E144" s="5">
        <f>AVERAGE(E6:E140)</f>
        <v>2.6347407407407388</v>
      </c>
    </row>
    <row r="145" spans="2:9" x14ac:dyDescent="0.45">
      <c r="H145" t="s">
        <v>19</v>
      </c>
      <c r="I145" s="40">
        <f>19717.5*40+45160</f>
        <v>833860</v>
      </c>
    </row>
    <row r="146" spans="2:9" x14ac:dyDescent="0.45">
      <c r="D146" s="1" t="s">
        <v>8</v>
      </c>
      <c r="E146" s="44">
        <f>+I146/1000</f>
        <v>509.36</v>
      </c>
      <c r="H146" t="s">
        <v>20</v>
      </c>
      <c r="I146" s="40">
        <f>464200+45160</f>
        <v>509360</v>
      </c>
    </row>
    <row r="147" spans="2:9" x14ac:dyDescent="0.45">
      <c r="E147" s="44"/>
      <c r="H147" t="s">
        <v>21</v>
      </c>
      <c r="I147" s="40">
        <f>412000+45160</f>
        <v>457160</v>
      </c>
    </row>
    <row r="148" spans="2:9" x14ac:dyDescent="0.45">
      <c r="D148" s="1" t="s">
        <v>9</v>
      </c>
      <c r="E148" s="45">
        <f>+E146*E143</f>
        <v>181174.25839999988</v>
      </c>
      <c r="H148" t="s">
        <v>22</v>
      </c>
      <c r="I148" s="40">
        <f>610300+45160</f>
        <v>655460</v>
      </c>
    </row>
    <row r="149" spans="2:9" x14ac:dyDescent="0.45">
      <c r="D149" s="1" t="s">
        <v>10</v>
      </c>
      <c r="E149" s="44">
        <f>+B140-B6</f>
        <v>76.950000000000017</v>
      </c>
    </row>
    <row r="150" spans="2:9" x14ac:dyDescent="0.45">
      <c r="D150" s="1" t="s">
        <v>11</v>
      </c>
      <c r="E150" s="45">
        <v>7000</v>
      </c>
    </row>
    <row r="151" spans="2:9" x14ac:dyDescent="0.45">
      <c r="D151" s="1" t="s">
        <v>12</v>
      </c>
      <c r="E151" s="45">
        <f>+E150*E149</f>
        <v>538650.00000000012</v>
      </c>
    </row>
    <row r="152" spans="2:9" x14ac:dyDescent="0.45">
      <c r="E152" s="44"/>
    </row>
    <row r="153" spans="2:9" x14ac:dyDescent="0.45">
      <c r="D153" s="1" t="s">
        <v>23</v>
      </c>
      <c r="E153" s="45">
        <f>+E151-E148</f>
        <v>357475.74160000024</v>
      </c>
    </row>
    <row r="154" spans="2:9" x14ac:dyDescent="0.45">
      <c r="E154" s="44"/>
    </row>
    <row r="157" spans="2:9" x14ac:dyDescent="0.45">
      <c r="B157" s="39"/>
    </row>
  </sheetData>
  <mergeCells count="6">
    <mergeCell ref="A2:E3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19"/>
  <sheetViews>
    <sheetView showGridLines="0" workbookViewId="0">
      <selection activeCell="H24" sqref="H24"/>
    </sheetView>
  </sheetViews>
  <sheetFormatPr baseColWidth="10" defaultRowHeight="14.25" x14ac:dyDescent="0.45"/>
  <cols>
    <col min="1" max="1" width="11.3984375" style="1"/>
    <col min="2" max="2" width="11.59765625" style="1" customWidth="1"/>
    <col min="3" max="3" width="13.33203125" style="1" customWidth="1"/>
    <col min="4" max="4" width="15" style="1" customWidth="1"/>
    <col min="5" max="5" width="12.3984375" style="1" customWidth="1"/>
    <col min="6" max="6" width="14.3984375" style="1" customWidth="1"/>
    <col min="7" max="7" width="11.3984375" style="1"/>
    <col min="8" max="8" width="15.59765625" customWidth="1"/>
    <col min="9" max="9" width="14" customWidth="1"/>
    <col min="11" max="11" width="15.86328125" customWidth="1"/>
    <col min="12" max="12" width="16.59765625" customWidth="1"/>
  </cols>
  <sheetData>
    <row r="2" spans="1:9" x14ac:dyDescent="0.45">
      <c r="A2" s="57" t="s">
        <v>24</v>
      </c>
      <c r="B2" s="57"/>
      <c r="C2" s="57"/>
      <c r="D2" s="57"/>
      <c r="E2" s="57"/>
      <c r="F2" s="57"/>
      <c r="G2" s="57"/>
    </row>
    <row r="3" spans="1:9" x14ac:dyDescent="0.45">
      <c r="A3" s="57"/>
      <c r="B3" s="57"/>
      <c r="C3" s="57"/>
      <c r="D3" s="57"/>
      <c r="E3" s="57"/>
      <c r="F3" s="57"/>
      <c r="G3" s="57"/>
    </row>
    <row r="4" spans="1:9" x14ac:dyDescent="0.45">
      <c r="A4" s="20" t="s">
        <v>25</v>
      </c>
      <c r="B4" s="60" t="s">
        <v>26</v>
      </c>
      <c r="C4" s="60" t="s">
        <v>27</v>
      </c>
      <c r="D4" s="60"/>
      <c r="E4" s="60" t="s">
        <v>28</v>
      </c>
      <c r="F4" s="60"/>
      <c r="G4" s="58" t="s">
        <v>29</v>
      </c>
      <c r="H4" s="60" t="s">
        <v>30</v>
      </c>
      <c r="I4" s="60"/>
    </row>
    <row r="5" spans="1:9" x14ac:dyDescent="0.45">
      <c r="A5" s="18" t="s">
        <v>31</v>
      </c>
      <c r="B5" s="60"/>
      <c r="C5" s="20" t="s">
        <v>32</v>
      </c>
      <c r="D5" s="20" t="s">
        <v>33</v>
      </c>
      <c r="E5" s="20" t="s">
        <v>32</v>
      </c>
      <c r="F5" s="20" t="s">
        <v>34</v>
      </c>
      <c r="G5" s="58"/>
      <c r="H5" s="20" t="s">
        <v>32</v>
      </c>
      <c r="I5" s="20" t="s">
        <v>33</v>
      </c>
    </row>
    <row r="6" spans="1:9" x14ac:dyDescent="0.45">
      <c r="A6" s="19">
        <v>1</v>
      </c>
      <c r="B6" s="19"/>
      <c r="C6" s="7">
        <f>+HIPER!E22</f>
        <v>20.492499999999993</v>
      </c>
      <c r="D6" s="1">
        <f>+C6/MID($D$5,9,2)</f>
        <v>0.81969999999999965</v>
      </c>
      <c r="E6" s="7">
        <f>+PRECOZ!E143</f>
        <v>355.68999999999977</v>
      </c>
      <c r="F6" s="1">
        <f>+E6/MID($F$5,9,2)</f>
        <v>11.856333333333327</v>
      </c>
      <c r="G6" s="7">
        <f>+C6+E6</f>
        <v>376.18249999999978</v>
      </c>
      <c r="H6" s="7">
        <v>900</v>
      </c>
      <c r="I6" s="1">
        <f>+H6/MID($I$5,9,2)</f>
        <v>36</v>
      </c>
    </row>
    <row r="7" spans="1:9" x14ac:dyDescent="0.45">
      <c r="A7" s="32">
        <v>230</v>
      </c>
      <c r="B7" s="32"/>
      <c r="C7" s="10">
        <f>+A7*C6</f>
        <v>4713.2749999999987</v>
      </c>
      <c r="D7" s="1">
        <f>+C7/MID($D$5,9,2)</f>
        <v>188.53099999999995</v>
      </c>
      <c r="E7" s="10">
        <f>+A7*E6</f>
        <v>81808.699999999953</v>
      </c>
      <c r="F7" s="1">
        <f>+E7/MID($F$5,9,2)</f>
        <v>2726.9566666666651</v>
      </c>
      <c r="G7" s="11">
        <f>+C7+E7</f>
        <v>86521.974999999948</v>
      </c>
    </row>
    <row r="8" spans="1:9" x14ac:dyDescent="0.45">
      <c r="A8" s="1" t="s">
        <v>35</v>
      </c>
      <c r="C8" s="3">
        <f>+C7/1000</f>
        <v>4.7132749999999985</v>
      </c>
      <c r="D8" s="3"/>
      <c r="E8" s="3">
        <f>+E7/1000</f>
        <v>81.808699999999959</v>
      </c>
    </row>
    <row r="9" spans="1:9" s="35" customFormat="1" ht="15.75" x14ac:dyDescent="0.5">
      <c r="D9" s="34"/>
      <c r="F9" s="34"/>
      <c r="G9" s="34"/>
    </row>
    <row r="11" spans="1:9" ht="15.75" x14ac:dyDescent="0.5">
      <c r="A11" s="36"/>
      <c r="C11" s="39"/>
      <c r="D11" s="39"/>
      <c r="E11" s="39"/>
      <c r="F11" s="39"/>
      <c r="H11" s="40"/>
      <c r="I11" s="41"/>
    </row>
    <row r="13" spans="1:9" x14ac:dyDescent="0.45">
      <c r="C13" s="42"/>
    </row>
    <row r="14" spans="1:9" x14ac:dyDescent="0.45">
      <c r="C14" s="39"/>
    </row>
    <row r="16" spans="1:9" x14ac:dyDescent="0.45">
      <c r="C16" s="39"/>
      <c r="D16" s="39"/>
      <c r="E16" s="39"/>
      <c r="F16" s="39"/>
      <c r="H16" s="40"/>
      <c r="I16" s="40"/>
    </row>
    <row r="18" spans="3:3" x14ac:dyDescent="0.45">
      <c r="C18" s="42"/>
    </row>
    <row r="19" spans="3:3" x14ac:dyDescent="0.45">
      <c r="C19" s="39"/>
    </row>
  </sheetData>
  <mergeCells count="6">
    <mergeCell ref="H4:I4"/>
    <mergeCell ref="C4:D4"/>
    <mergeCell ref="E4:F4"/>
    <mergeCell ref="A2:G3"/>
    <mergeCell ref="G4:G5"/>
    <mergeCell ref="B4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167"/>
  <sheetViews>
    <sheetView showGridLines="0" topLeftCell="A70" workbookViewId="0">
      <selection activeCell="H24" sqref="H24"/>
    </sheetView>
  </sheetViews>
  <sheetFormatPr baseColWidth="10" defaultRowHeight="14.25" x14ac:dyDescent="0.45"/>
  <cols>
    <col min="2" max="2" width="14.33203125" customWidth="1"/>
    <col min="3" max="3" width="13.265625" style="22" customWidth="1"/>
    <col min="4" max="4" width="26" customWidth="1"/>
    <col min="5" max="5" width="19.1328125" customWidth="1"/>
    <col min="6" max="6" width="14" customWidth="1"/>
    <col min="7" max="7" width="17.265625" customWidth="1"/>
    <col min="8" max="8" width="14" customWidth="1"/>
    <col min="9" max="9" width="16" style="3" customWidth="1"/>
    <col min="10" max="10" width="17.1328125" style="3" customWidth="1"/>
    <col min="11" max="11" width="17.33203125" style="3" customWidth="1"/>
    <col min="12" max="12" width="10.73046875" customWidth="1"/>
  </cols>
  <sheetData>
    <row r="2" spans="1:11" x14ac:dyDescent="0.45">
      <c r="A2" s="64" t="s">
        <v>36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x14ac:dyDescent="0.45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x14ac:dyDescent="0.45">
      <c r="A4" s="71" t="s">
        <v>37</v>
      </c>
      <c r="B4" s="71"/>
      <c r="C4" s="71"/>
      <c r="D4" s="71"/>
      <c r="E4" s="71"/>
      <c r="F4" s="71"/>
      <c r="G4" s="71"/>
      <c r="H4" s="71"/>
      <c r="I4" s="71"/>
      <c r="J4" s="71"/>
      <c r="K4" s="71"/>
    </row>
    <row r="5" spans="1:11" ht="21" x14ac:dyDescent="0.65">
      <c r="A5" s="68"/>
      <c r="B5" s="68"/>
      <c r="C5" s="68"/>
      <c r="D5" s="68"/>
      <c r="E5" s="68"/>
      <c r="F5" s="69" t="s">
        <v>38</v>
      </c>
      <c r="G5" s="69"/>
      <c r="H5" s="69"/>
      <c r="I5" s="70" t="s">
        <v>39</v>
      </c>
      <c r="J5" s="70"/>
      <c r="K5" s="70"/>
    </row>
    <row r="6" spans="1:11" ht="15" customHeight="1" x14ac:dyDescent="0.45">
      <c r="A6" s="58" t="s">
        <v>1</v>
      </c>
      <c r="B6" s="59" t="s">
        <v>40</v>
      </c>
      <c r="C6" s="61" t="s">
        <v>41</v>
      </c>
      <c r="D6" s="59" t="s">
        <v>3</v>
      </c>
      <c r="E6" s="58" t="s">
        <v>4</v>
      </c>
      <c r="F6" s="59" t="s">
        <v>5</v>
      </c>
      <c r="G6" s="59" t="s">
        <v>42</v>
      </c>
      <c r="H6" s="59" t="s">
        <v>43</v>
      </c>
      <c r="I6" s="66" t="s">
        <v>44</v>
      </c>
      <c r="J6" s="66" t="s">
        <v>45</v>
      </c>
      <c r="K6" s="59" t="s">
        <v>43</v>
      </c>
    </row>
    <row r="7" spans="1:11" x14ac:dyDescent="0.45">
      <c r="A7" s="58"/>
      <c r="B7" s="58"/>
      <c r="C7" s="61"/>
      <c r="D7" s="59"/>
      <c r="E7" s="58"/>
      <c r="F7" s="59"/>
      <c r="G7" s="59"/>
      <c r="H7" s="59"/>
      <c r="I7" s="66"/>
      <c r="J7" s="66"/>
      <c r="K7" s="59"/>
    </row>
    <row r="8" spans="1:11" x14ac:dyDescent="0.45">
      <c r="A8" s="58"/>
      <c r="B8" s="58"/>
      <c r="C8" s="62"/>
      <c r="D8" s="59"/>
      <c r="E8" s="58"/>
      <c r="F8" s="58"/>
      <c r="G8" s="58"/>
      <c r="H8" s="58"/>
      <c r="I8" s="67"/>
      <c r="J8" s="67"/>
      <c r="K8" s="58"/>
    </row>
    <row r="9" spans="1:11" x14ac:dyDescent="0.45">
      <c r="A9" s="37">
        <v>45952</v>
      </c>
      <c r="B9" s="14">
        <f>+HIPER!B6</f>
        <v>55</v>
      </c>
      <c r="C9" s="23"/>
      <c r="D9" s="15">
        <f>+HIPER!C6</f>
        <v>-0.1</v>
      </c>
      <c r="E9" s="16">
        <f>+HIPER!D6</f>
        <v>2.5000000000000001E-2</v>
      </c>
      <c r="F9" s="15">
        <f>(B9*E9)*C9</f>
        <v>0</v>
      </c>
      <c r="G9" s="15">
        <f>+F9</f>
        <v>0</v>
      </c>
      <c r="H9" s="15">
        <f>+MROUND(F9/25,0.5)</f>
        <v>0</v>
      </c>
      <c r="I9" s="14"/>
      <c r="J9" s="14"/>
      <c r="K9" s="14"/>
    </row>
    <row r="10" spans="1:11" x14ac:dyDescent="0.45">
      <c r="A10" s="37">
        <f>+A9+1</f>
        <v>45953</v>
      </c>
      <c r="B10" s="14">
        <f t="shared" ref="B10:B41" si="0">+B9+D9</f>
        <v>54.9</v>
      </c>
      <c r="C10" s="21">
        <f>+C9</f>
        <v>0</v>
      </c>
      <c r="D10" s="15">
        <f>+HIPER!C7</f>
        <v>-0.1</v>
      </c>
      <c r="E10" s="16">
        <f>+HIPER!D7</f>
        <v>2.5000000000000001E-2</v>
      </c>
      <c r="F10" s="15">
        <f t="shared" ref="F10:F23" si="1">(B10*E10)*C10</f>
        <v>0</v>
      </c>
      <c r="G10" s="15">
        <f>+F10+G9</f>
        <v>0</v>
      </c>
      <c r="H10" s="15">
        <f t="shared" ref="H10:H23" si="2">+MROUND(F10/25,0.5)</f>
        <v>0</v>
      </c>
      <c r="I10" s="14"/>
      <c r="J10" s="14"/>
      <c r="K10" s="14"/>
    </row>
    <row r="11" spans="1:11" x14ac:dyDescent="0.45">
      <c r="A11" s="37">
        <f t="shared" ref="A11:A74" si="3">+A10+1</f>
        <v>45954</v>
      </c>
      <c r="B11" s="14">
        <f t="shared" si="0"/>
        <v>54.8</v>
      </c>
      <c r="C11" s="21">
        <f t="shared" ref="C11:C74" si="4">+C10</f>
        <v>0</v>
      </c>
      <c r="D11" s="15">
        <f>+HIPER!C8</f>
        <v>-0.1</v>
      </c>
      <c r="E11" s="16">
        <f>+HIPER!D8</f>
        <v>2.5000000000000001E-2</v>
      </c>
      <c r="F11" s="15">
        <f t="shared" si="1"/>
        <v>0</v>
      </c>
      <c r="G11" s="15">
        <f t="shared" ref="G11:G23" si="5">+F11+G10</f>
        <v>0</v>
      </c>
      <c r="H11" s="15">
        <f t="shared" si="2"/>
        <v>0</v>
      </c>
      <c r="I11" s="14"/>
      <c r="J11" s="14"/>
      <c r="K11" s="14"/>
    </row>
    <row r="12" spans="1:11" x14ac:dyDescent="0.45">
      <c r="A12" s="37">
        <f t="shared" si="3"/>
        <v>45955</v>
      </c>
      <c r="B12" s="14">
        <f t="shared" si="0"/>
        <v>54.699999999999996</v>
      </c>
      <c r="C12" s="21">
        <f t="shared" si="4"/>
        <v>0</v>
      </c>
      <c r="D12" s="15">
        <f>+HIPER!C9</f>
        <v>-0.1</v>
      </c>
      <c r="E12" s="16">
        <f>+HIPER!D9</f>
        <v>2.5000000000000001E-2</v>
      </c>
      <c r="F12" s="15">
        <f t="shared" si="1"/>
        <v>0</v>
      </c>
      <c r="G12" s="15">
        <f t="shared" si="5"/>
        <v>0</v>
      </c>
      <c r="H12" s="15">
        <f t="shared" si="2"/>
        <v>0</v>
      </c>
      <c r="I12" s="14"/>
      <c r="J12" s="14"/>
      <c r="K12" s="14"/>
    </row>
    <row r="13" spans="1:11" x14ac:dyDescent="0.45">
      <c r="A13" s="37">
        <f t="shared" si="3"/>
        <v>45956</v>
      </c>
      <c r="B13" s="14">
        <f t="shared" si="0"/>
        <v>54.599999999999994</v>
      </c>
      <c r="C13" s="21">
        <f t="shared" si="4"/>
        <v>0</v>
      </c>
      <c r="D13" s="15">
        <f>+HIPER!C10</f>
        <v>-0.1</v>
      </c>
      <c r="E13" s="16">
        <f>+HIPER!D10</f>
        <v>2.5000000000000001E-2</v>
      </c>
      <c r="F13" s="15">
        <f t="shared" si="1"/>
        <v>0</v>
      </c>
      <c r="G13" s="15">
        <f t="shared" si="5"/>
        <v>0</v>
      </c>
      <c r="H13" s="15">
        <f t="shared" si="2"/>
        <v>0</v>
      </c>
      <c r="I13" s="14"/>
      <c r="J13" s="14"/>
      <c r="K13" s="14"/>
    </row>
    <row r="14" spans="1:11" x14ac:dyDescent="0.45">
      <c r="A14" s="37">
        <f t="shared" si="3"/>
        <v>45957</v>
      </c>
      <c r="B14" s="14">
        <f t="shared" si="0"/>
        <v>54.499999999999993</v>
      </c>
      <c r="C14" s="21">
        <f t="shared" si="4"/>
        <v>0</v>
      </c>
      <c r="D14" s="15">
        <f>+HIPER!C11</f>
        <v>-0.1</v>
      </c>
      <c r="E14" s="16">
        <f>+HIPER!D11</f>
        <v>2.5000000000000001E-2</v>
      </c>
      <c r="F14" s="15">
        <f t="shared" si="1"/>
        <v>0</v>
      </c>
      <c r="G14" s="15">
        <f t="shared" si="5"/>
        <v>0</v>
      </c>
      <c r="H14" s="15">
        <f t="shared" si="2"/>
        <v>0</v>
      </c>
      <c r="I14" s="14"/>
      <c r="J14" s="14"/>
      <c r="K14" s="14"/>
    </row>
    <row r="15" spans="1:11" x14ac:dyDescent="0.45">
      <c r="A15" s="37">
        <f t="shared" si="3"/>
        <v>45958</v>
      </c>
      <c r="B15" s="14">
        <f t="shared" si="0"/>
        <v>54.399999999999991</v>
      </c>
      <c r="C15" s="21">
        <f t="shared" si="4"/>
        <v>0</v>
      </c>
      <c r="D15" s="15">
        <f>+HIPER!C12</f>
        <v>-0.1</v>
      </c>
      <c r="E15" s="16">
        <f>+HIPER!D12</f>
        <v>2.5000000000000001E-2</v>
      </c>
      <c r="F15" s="15">
        <f t="shared" si="1"/>
        <v>0</v>
      </c>
      <c r="G15" s="15">
        <f t="shared" si="5"/>
        <v>0</v>
      </c>
      <c r="H15" s="15">
        <f t="shared" si="2"/>
        <v>0</v>
      </c>
      <c r="I15" s="14"/>
      <c r="J15" s="14"/>
      <c r="K15" s="14"/>
    </row>
    <row r="16" spans="1:11" x14ac:dyDescent="0.45">
      <c r="A16" s="37">
        <f t="shared" si="3"/>
        <v>45959</v>
      </c>
      <c r="B16" s="14">
        <f t="shared" si="0"/>
        <v>54.29999999999999</v>
      </c>
      <c r="C16" s="21">
        <f t="shared" si="4"/>
        <v>0</v>
      </c>
      <c r="D16" s="15">
        <f>+HIPER!C13</f>
        <v>0</v>
      </c>
      <c r="E16" s="16">
        <f>+HIPER!D13</f>
        <v>2.5000000000000001E-2</v>
      </c>
      <c r="F16" s="15">
        <f t="shared" si="1"/>
        <v>0</v>
      </c>
      <c r="G16" s="15">
        <f t="shared" si="5"/>
        <v>0</v>
      </c>
      <c r="H16" s="15">
        <f t="shared" si="2"/>
        <v>0</v>
      </c>
      <c r="I16" s="14"/>
      <c r="J16" s="14"/>
      <c r="K16" s="14"/>
    </row>
    <row r="17" spans="1:11" x14ac:dyDescent="0.45">
      <c r="A17" s="37">
        <f t="shared" si="3"/>
        <v>45960</v>
      </c>
      <c r="B17" s="14">
        <f t="shared" si="0"/>
        <v>54.29999999999999</v>
      </c>
      <c r="C17" s="21">
        <f t="shared" si="4"/>
        <v>0</v>
      </c>
      <c r="D17" s="15">
        <f>+HIPER!C14</f>
        <v>0.1</v>
      </c>
      <c r="E17" s="16">
        <f>+HIPER!D14</f>
        <v>2.5000000000000001E-2</v>
      </c>
      <c r="F17" s="15">
        <f t="shared" si="1"/>
        <v>0</v>
      </c>
      <c r="G17" s="15">
        <f t="shared" si="5"/>
        <v>0</v>
      </c>
      <c r="H17" s="15">
        <f t="shared" si="2"/>
        <v>0</v>
      </c>
      <c r="I17" s="14"/>
      <c r="J17" s="14"/>
      <c r="K17" s="14"/>
    </row>
    <row r="18" spans="1:11" x14ac:dyDescent="0.45">
      <c r="A18" s="37">
        <f t="shared" si="3"/>
        <v>45961</v>
      </c>
      <c r="B18" s="14">
        <f t="shared" si="0"/>
        <v>54.399999999999991</v>
      </c>
      <c r="C18" s="21">
        <f t="shared" si="4"/>
        <v>0</v>
      </c>
      <c r="D18" s="15">
        <f>+HIPER!C15</f>
        <v>0.1</v>
      </c>
      <c r="E18" s="16">
        <f>+HIPER!D15</f>
        <v>2.5000000000000001E-2</v>
      </c>
      <c r="F18" s="15">
        <f t="shared" si="1"/>
        <v>0</v>
      </c>
      <c r="G18" s="15">
        <f t="shared" si="5"/>
        <v>0</v>
      </c>
      <c r="H18" s="15">
        <f t="shared" si="2"/>
        <v>0</v>
      </c>
      <c r="I18" s="14"/>
      <c r="J18" s="14"/>
      <c r="K18" s="14"/>
    </row>
    <row r="19" spans="1:11" x14ac:dyDescent="0.45">
      <c r="A19" s="37">
        <f t="shared" si="3"/>
        <v>45962</v>
      </c>
      <c r="B19" s="14">
        <f t="shared" si="0"/>
        <v>54.499999999999993</v>
      </c>
      <c r="C19" s="21">
        <f t="shared" si="4"/>
        <v>0</v>
      </c>
      <c r="D19" s="15">
        <f>+HIPER!C16</f>
        <v>0.1</v>
      </c>
      <c r="E19" s="16">
        <f>+HIPER!D16</f>
        <v>2.5000000000000001E-2</v>
      </c>
      <c r="F19" s="15">
        <f t="shared" si="1"/>
        <v>0</v>
      </c>
      <c r="G19" s="15">
        <f t="shared" si="5"/>
        <v>0</v>
      </c>
      <c r="H19" s="15">
        <f t="shared" si="2"/>
        <v>0</v>
      </c>
      <c r="I19" s="14"/>
      <c r="J19" s="14"/>
      <c r="K19" s="14"/>
    </row>
    <row r="20" spans="1:11" x14ac:dyDescent="0.45">
      <c r="A20" s="37">
        <f t="shared" si="3"/>
        <v>45963</v>
      </c>
      <c r="B20" s="14">
        <f t="shared" si="0"/>
        <v>54.599999999999994</v>
      </c>
      <c r="C20" s="21">
        <f t="shared" si="4"/>
        <v>0</v>
      </c>
      <c r="D20" s="15">
        <f>+HIPER!C17</f>
        <v>0.15</v>
      </c>
      <c r="E20" s="16">
        <f>+HIPER!D17</f>
        <v>2.5000000000000001E-2</v>
      </c>
      <c r="F20" s="15">
        <f t="shared" si="1"/>
        <v>0</v>
      </c>
      <c r="G20" s="15">
        <f t="shared" si="5"/>
        <v>0</v>
      </c>
      <c r="H20" s="15">
        <f t="shared" si="2"/>
        <v>0</v>
      </c>
      <c r="I20" s="14"/>
      <c r="J20" s="14"/>
      <c r="K20" s="14"/>
    </row>
    <row r="21" spans="1:11" x14ac:dyDescent="0.45">
      <c r="A21" s="37">
        <f t="shared" si="3"/>
        <v>45964</v>
      </c>
      <c r="B21" s="14">
        <f t="shared" si="0"/>
        <v>54.749999999999993</v>
      </c>
      <c r="C21" s="21">
        <f t="shared" si="4"/>
        <v>0</v>
      </c>
      <c r="D21" s="15">
        <f>+HIPER!C18</f>
        <v>0.15</v>
      </c>
      <c r="E21" s="16">
        <f>+HIPER!D18</f>
        <v>2.5000000000000001E-2</v>
      </c>
      <c r="F21" s="15">
        <f t="shared" si="1"/>
        <v>0</v>
      </c>
      <c r="G21" s="15">
        <f t="shared" si="5"/>
        <v>0</v>
      </c>
      <c r="H21" s="15">
        <f t="shared" si="2"/>
        <v>0</v>
      </c>
      <c r="I21" s="14"/>
      <c r="J21" s="14"/>
      <c r="K21" s="14"/>
    </row>
    <row r="22" spans="1:11" x14ac:dyDescent="0.45">
      <c r="A22" s="37">
        <f t="shared" si="3"/>
        <v>45965</v>
      </c>
      <c r="B22" s="14">
        <f t="shared" si="0"/>
        <v>54.899999999999991</v>
      </c>
      <c r="C22" s="21">
        <f t="shared" si="4"/>
        <v>0</v>
      </c>
      <c r="D22" s="15">
        <f>+HIPER!C19</f>
        <v>0.15</v>
      </c>
      <c r="E22" s="16">
        <f>+HIPER!D19</f>
        <v>2.5000000000000001E-2</v>
      </c>
      <c r="F22" s="15">
        <f t="shared" si="1"/>
        <v>0</v>
      </c>
      <c r="G22" s="15">
        <f t="shared" si="5"/>
        <v>0</v>
      </c>
      <c r="H22" s="15">
        <f t="shared" si="2"/>
        <v>0</v>
      </c>
      <c r="I22" s="14"/>
      <c r="J22" s="14"/>
      <c r="K22" s="14"/>
    </row>
    <row r="23" spans="1:11" x14ac:dyDescent="0.45">
      <c r="A23" s="37">
        <f t="shared" si="3"/>
        <v>45966</v>
      </c>
      <c r="B23" s="14">
        <f t="shared" si="0"/>
        <v>55.04999999999999</v>
      </c>
      <c r="C23" s="21">
        <f t="shared" si="4"/>
        <v>0</v>
      </c>
      <c r="D23" s="15">
        <f>+HIPER!C20</f>
        <v>0.15</v>
      </c>
      <c r="E23" s="16">
        <f>+HIPER!D20</f>
        <v>2.5000000000000001E-2</v>
      </c>
      <c r="F23" s="15">
        <f t="shared" si="1"/>
        <v>0</v>
      </c>
      <c r="G23" s="15">
        <f t="shared" si="5"/>
        <v>0</v>
      </c>
      <c r="H23" s="15">
        <f>+MROUND(F23/25,0.5)</f>
        <v>0</v>
      </c>
      <c r="I23" s="14"/>
      <c r="J23" s="14"/>
      <c r="K23" s="14"/>
    </row>
    <row r="24" spans="1:11" x14ac:dyDescent="0.45">
      <c r="A24" s="37">
        <f t="shared" si="3"/>
        <v>45967</v>
      </c>
      <c r="B24" s="14">
        <f t="shared" si="0"/>
        <v>55.199999999999989</v>
      </c>
      <c r="C24" s="21">
        <f t="shared" si="4"/>
        <v>0</v>
      </c>
      <c r="D24" s="15">
        <f>+PRECOZ!C6</f>
        <v>0.25</v>
      </c>
      <c r="E24" s="16">
        <f>+PRECOZ!D6</f>
        <v>2.5000000000000001E-2</v>
      </c>
      <c r="F24" s="38"/>
      <c r="G24" s="38"/>
      <c r="H24" s="38"/>
      <c r="I24" s="14">
        <f>+B24*E24*C24</f>
        <v>0</v>
      </c>
      <c r="J24" s="14">
        <f>+I24</f>
        <v>0</v>
      </c>
      <c r="K24" s="14">
        <f>+MROUND(I24/30,0.5)</f>
        <v>0</v>
      </c>
    </row>
    <row r="25" spans="1:11" x14ac:dyDescent="0.45">
      <c r="A25" s="37">
        <f t="shared" si="3"/>
        <v>45968</v>
      </c>
      <c r="B25" s="14">
        <f t="shared" si="0"/>
        <v>55.449999999999989</v>
      </c>
      <c r="C25" s="21">
        <f t="shared" si="4"/>
        <v>0</v>
      </c>
      <c r="D25" s="15">
        <f>+PRECOZ!C7</f>
        <v>0.25</v>
      </c>
      <c r="E25" s="16">
        <f>+PRECOZ!D7</f>
        <v>2.5000000000000001E-2</v>
      </c>
      <c r="F25" s="38"/>
      <c r="G25" s="38"/>
      <c r="H25" s="38"/>
      <c r="I25" s="14">
        <f t="shared" ref="I25:I88" si="6">+B25*E25*C25</f>
        <v>0</v>
      </c>
      <c r="J25" s="14">
        <f>+I25+J24</f>
        <v>0</v>
      </c>
      <c r="K25" s="14">
        <f t="shared" ref="K25:K88" si="7">+MROUND(I25/30,0.5)</f>
        <v>0</v>
      </c>
    </row>
    <row r="26" spans="1:11" x14ac:dyDescent="0.45">
      <c r="A26" s="37">
        <f t="shared" si="3"/>
        <v>45969</v>
      </c>
      <c r="B26" s="14">
        <f t="shared" si="0"/>
        <v>55.699999999999989</v>
      </c>
      <c r="C26" s="21">
        <f t="shared" si="4"/>
        <v>0</v>
      </c>
      <c r="D26" s="15">
        <f>+PRECOZ!C8</f>
        <v>0.25</v>
      </c>
      <c r="E26" s="16">
        <f>+PRECOZ!D8</f>
        <v>2.5000000000000001E-2</v>
      </c>
      <c r="F26" s="38"/>
      <c r="G26" s="38"/>
      <c r="H26" s="38"/>
      <c r="I26" s="14">
        <f t="shared" si="6"/>
        <v>0</v>
      </c>
      <c r="J26" s="14">
        <f t="shared" ref="J26:J89" si="8">+I26+J25</f>
        <v>0</v>
      </c>
      <c r="K26" s="14">
        <f t="shared" si="7"/>
        <v>0</v>
      </c>
    </row>
    <row r="27" spans="1:11" x14ac:dyDescent="0.45">
      <c r="A27" s="37">
        <f t="shared" si="3"/>
        <v>45970</v>
      </c>
      <c r="B27" s="14">
        <f t="shared" si="0"/>
        <v>55.949999999999989</v>
      </c>
      <c r="C27" s="21">
        <f t="shared" si="4"/>
        <v>0</v>
      </c>
      <c r="D27" s="15">
        <f>+PRECOZ!C9</f>
        <v>0.3</v>
      </c>
      <c r="E27" s="16">
        <f>+PRECOZ!D9</f>
        <v>2.5000000000000001E-2</v>
      </c>
      <c r="F27" s="38"/>
      <c r="G27" s="38"/>
      <c r="H27" s="38"/>
      <c r="I27" s="14">
        <f t="shared" si="6"/>
        <v>0</v>
      </c>
      <c r="J27" s="14">
        <f t="shared" si="8"/>
        <v>0</v>
      </c>
      <c r="K27" s="14">
        <f t="shared" si="7"/>
        <v>0</v>
      </c>
    </row>
    <row r="28" spans="1:11" x14ac:dyDescent="0.45">
      <c r="A28" s="37">
        <f t="shared" si="3"/>
        <v>45971</v>
      </c>
      <c r="B28" s="14">
        <f t="shared" si="0"/>
        <v>56.249999999999986</v>
      </c>
      <c r="C28" s="21">
        <f t="shared" si="4"/>
        <v>0</v>
      </c>
      <c r="D28" s="15">
        <f>+PRECOZ!C10</f>
        <v>0.3</v>
      </c>
      <c r="E28" s="16">
        <f>+PRECOZ!D10</f>
        <v>2.5000000000000001E-2</v>
      </c>
      <c r="F28" s="38"/>
      <c r="G28" s="38"/>
      <c r="H28" s="38"/>
      <c r="I28" s="14">
        <f t="shared" si="6"/>
        <v>0</v>
      </c>
      <c r="J28" s="14">
        <f t="shared" si="8"/>
        <v>0</v>
      </c>
      <c r="K28" s="14">
        <f t="shared" si="7"/>
        <v>0</v>
      </c>
    </row>
    <row r="29" spans="1:11" x14ac:dyDescent="0.45">
      <c r="A29" s="37">
        <f t="shared" si="3"/>
        <v>45972</v>
      </c>
      <c r="B29" s="14">
        <f t="shared" si="0"/>
        <v>56.549999999999983</v>
      </c>
      <c r="C29" s="21">
        <f t="shared" si="4"/>
        <v>0</v>
      </c>
      <c r="D29" s="15">
        <f>+PRECOZ!C11</f>
        <v>0.3</v>
      </c>
      <c r="E29" s="16">
        <f>+PRECOZ!D11</f>
        <v>2.5000000000000001E-2</v>
      </c>
      <c r="F29" s="38"/>
      <c r="G29" s="38"/>
      <c r="H29" s="38"/>
      <c r="I29" s="14">
        <f t="shared" si="6"/>
        <v>0</v>
      </c>
      <c r="J29" s="14">
        <f t="shared" si="8"/>
        <v>0</v>
      </c>
      <c r="K29" s="14">
        <f t="shared" si="7"/>
        <v>0</v>
      </c>
    </row>
    <row r="30" spans="1:11" x14ac:dyDescent="0.45">
      <c r="A30" s="37">
        <f t="shared" si="3"/>
        <v>45973</v>
      </c>
      <c r="B30" s="14">
        <f t="shared" si="0"/>
        <v>56.84999999999998</v>
      </c>
      <c r="C30" s="21">
        <f t="shared" si="4"/>
        <v>0</v>
      </c>
      <c r="D30" s="15">
        <f>+PRECOZ!C12</f>
        <v>0.3</v>
      </c>
      <c r="E30" s="16">
        <f>+PRECOZ!D12</f>
        <v>2.5000000000000001E-2</v>
      </c>
      <c r="F30" s="38"/>
      <c r="G30" s="38"/>
      <c r="H30" s="38"/>
      <c r="I30" s="14">
        <f t="shared" si="6"/>
        <v>0</v>
      </c>
      <c r="J30" s="14">
        <f t="shared" si="8"/>
        <v>0</v>
      </c>
      <c r="K30" s="14">
        <f t="shared" si="7"/>
        <v>0</v>
      </c>
    </row>
    <row r="31" spans="1:11" x14ac:dyDescent="0.45">
      <c r="A31" s="37">
        <f t="shared" si="3"/>
        <v>45974</v>
      </c>
      <c r="B31" s="14">
        <f t="shared" si="0"/>
        <v>57.149999999999977</v>
      </c>
      <c r="C31" s="21">
        <f t="shared" si="4"/>
        <v>0</v>
      </c>
      <c r="D31" s="15">
        <f>+PRECOZ!C13</f>
        <v>0.3</v>
      </c>
      <c r="E31" s="16">
        <f>+PRECOZ!D13</f>
        <v>2.5000000000000001E-2</v>
      </c>
      <c r="F31" s="38"/>
      <c r="G31" s="38"/>
      <c r="H31" s="38"/>
      <c r="I31" s="14">
        <f t="shared" si="6"/>
        <v>0</v>
      </c>
      <c r="J31" s="14">
        <f t="shared" si="8"/>
        <v>0</v>
      </c>
      <c r="K31" s="14">
        <f t="shared" si="7"/>
        <v>0</v>
      </c>
    </row>
    <row r="32" spans="1:11" x14ac:dyDescent="0.45">
      <c r="A32" s="37">
        <f t="shared" si="3"/>
        <v>45975</v>
      </c>
      <c r="B32" s="14">
        <f t="shared" si="0"/>
        <v>57.449999999999974</v>
      </c>
      <c r="C32" s="21">
        <f t="shared" si="4"/>
        <v>0</v>
      </c>
      <c r="D32" s="15">
        <f>+PRECOZ!C14</f>
        <v>0.3</v>
      </c>
      <c r="E32" s="16">
        <f>+PRECOZ!D14</f>
        <v>2.5000000000000001E-2</v>
      </c>
      <c r="F32" s="38"/>
      <c r="G32" s="38"/>
      <c r="H32" s="38"/>
      <c r="I32" s="14">
        <f t="shared" si="6"/>
        <v>0</v>
      </c>
      <c r="J32" s="14">
        <f t="shared" si="8"/>
        <v>0</v>
      </c>
      <c r="K32" s="14">
        <f t="shared" si="7"/>
        <v>0</v>
      </c>
    </row>
    <row r="33" spans="1:11" x14ac:dyDescent="0.45">
      <c r="A33" s="37">
        <f t="shared" si="3"/>
        <v>45976</v>
      </c>
      <c r="B33" s="14">
        <f t="shared" si="0"/>
        <v>57.749999999999972</v>
      </c>
      <c r="C33" s="21">
        <f t="shared" si="4"/>
        <v>0</v>
      </c>
      <c r="D33" s="15">
        <f>+PRECOZ!C15</f>
        <v>0.3</v>
      </c>
      <c r="E33" s="16">
        <f>+PRECOZ!D15</f>
        <v>2.5000000000000001E-2</v>
      </c>
      <c r="F33" s="38"/>
      <c r="G33" s="38"/>
      <c r="H33" s="38"/>
      <c r="I33" s="14">
        <f t="shared" si="6"/>
        <v>0</v>
      </c>
      <c r="J33" s="14">
        <f t="shared" si="8"/>
        <v>0</v>
      </c>
      <c r="K33" s="14">
        <f t="shared" si="7"/>
        <v>0</v>
      </c>
    </row>
    <row r="34" spans="1:11" x14ac:dyDescent="0.45">
      <c r="A34" s="37">
        <f t="shared" si="3"/>
        <v>45977</v>
      </c>
      <c r="B34" s="14">
        <f t="shared" si="0"/>
        <v>58.049999999999969</v>
      </c>
      <c r="C34" s="21">
        <f t="shared" si="4"/>
        <v>0</v>
      </c>
      <c r="D34" s="15">
        <f>+PRECOZ!C16</f>
        <v>0.4</v>
      </c>
      <c r="E34" s="16">
        <f>+PRECOZ!D16</f>
        <v>2.5000000000000001E-2</v>
      </c>
      <c r="F34" s="38"/>
      <c r="G34" s="38"/>
      <c r="H34" s="38"/>
      <c r="I34" s="14">
        <f t="shared" si="6"/>
        <v>0</v>
      </c>
      <c r="J34" s="14">
        <f t="shared" si="8"/>
        <v>0</v>
      </c>
      <c r="K34" s="14">
        <f t="shared" si="7"/>
        <v>0</v>
      </c>
    </row>
    <row r="35" spans="1:11" x14ac:dyDescent="0.45">
      <c r="A35" s="37">
        <f t="shared" si="3"/>
        <v>45978</v>
      </c>
      <c r="B35" s="14">
        <f t="shared" si="0"/>
        <v>58.449999999999967</v>
      </c>
      <c r="C35" s="21">
        <f t="shared" si="4"/>
        <v>0</v>
      </c>
      <c r="D35" s="15">
        <f>+PRECOZ!C17</f>
        <v>0.4</v>
      </c>
      <c r="E35" s="16">
        <f>+PRECOZ!D17</f>
        <v>2.5000000000000001E-2</v>
      </c>
      <c r="F35" s="38"/>
      <c r="G35" s="38"/>
      <c r="H35" s="38"/>
      <c r="I35" s="14">
        <f t="shared" si="6"/>
        <v>0</v>
      </c>
      <c r="J35" s="14">
        <f t="shared" si="8"/>
        <v>0</v>
      </c>
      <c r="K35" s="14">
        <f t="shared" si="7"/>
        <v>0</v>
      </c>
    </row>
    <row r="36" spans="1:11" x14ac:dyDescent="0.45">
      <c r="A36" s="37">
        <f t="shared" si="3"/>
        <v>45979</v>
      </c>
      <c r="B36" s="14">
        <f t="shared" si="0"/>
        <v>58.849999999999966</v>
      </c>
      <c r="C36" s="21"/>
      <c r="D36" s="15">
        <f>+PRECOZ!C18</f>
        <v>0.4</v>
      </c>
      <c r="E36" s="16">
        <f>+PRECOZ!D18</f>
        <v>2.5000000000000001E-2</v>
      </c>
      <c r="F36" s="38"/>
      <c r="G36" s="38"/>
      <c r="H36" s="38"/>
      <c r="I36" s="14">
        <f t="shared" si="6"/>
        <v>0</v>
      </c>
      <c r="J36" s="14">
        <f t="shared" si="8"/>
        <v>0</v>
      </c>
      <c r="K36" s="14">
        <f t="shared" si="7"/>
        <v>0</v>
      </c>
    </row>
    <row r="37" spans="1:11" x14ac:dyDescent="0.45">
      <c r="A37" s="37">
        <f t="shared" si="3"/>
        <v>45980</v>
      </c>
      <c r="B37" s="14">
        <f t="shared" si="0"/>
        <v>59.249999999999964</v>
      </c>
      <c r="C37" s="21">
        <f>+RESUMEN!A7</f>
        <v>230</v>
      </c>
      <c r="D37" s="15">
        <f>+PRECOZ!C19</f>
        <v>0.4</v>
      </c>
      <c r="E37" s="16">
        <f>+PRECOZ!D19</f>
        <v>2.5000000000000001E-2</v>
      </c>
      <c r="F37" s="38"/>
      <c r="G37" s="38"/>
      <c r="H37" s="38"/>
      <c r="I37" s="14">
        <f t="shared" si="6"/>
        <v>340.68749999999983</v>
      </c>
      <c r="J37" s="14">
        <f t="shared" si="8"/>
        <v>340.68749999999983</v>
      </c>
      <c r="K37" s="14">
        <f t="shared" si="7"/>
        <v>11.5</v>
      </c>
    </row>
    <row r="38" spans="1:11" x14ac:dyDescent="0.45">
      <c r="A38" s="37">
        <f t="shared" si="3"/>
        <v>45981</v>
      </c>
      <c r="B38" s="14">
        <f t="shared" si="0"/>
        <v>59.649999999999963</v>
      </c>
      <c r="C38" s="21">
        <f t="shared" si="4"/>
        <v>230</v>
      </c>
      <c r="D38" s="15">
        <f>+PRECOZ!C20</f>
        <v>0.4</v>
      </c>
      <c r="E38" s="16">
        <f>+PRECOZ!D20</f>
        <v>2.5000000000000001E-2</v>
      </c>
      <c r="F38" s="38"/>
      <c r="G38" s="38"/>
      <c r="H38" s="38"/>
      <c r="I38" s="14">
        <f t="shared" si="6"/>
        <v>342.98749999999978</v>
      </c>
      <c r="J38" s="14">
        <f t="shared" si="8"/>
        <v>683.67499999999961</v>
      </c>
      <c r="K38" s="14">
        <f t="shared" si="7"/>
        <v>11.5</v>
      </c>
    </row>
    <row r="39" spans="1:11" x14ac:dyDescent="0.45">
      <c r="A39" s="37">
        <f t="shared" si="3"/>
        <v>45982</v>
      </c>
      <c r="B39" s="14">
        <f t="shared" si="0"/>
        <v>60.049999999999962</v>
      </c>
      <c r="C39" s="21">
        <f t="shared" si="4"/>
        <v>230</v>
      </c>
      <c r="D39" s="15">
        <f>+PRECOZ!C21</f>
        <v>0.4</v>
      </c>
      <c r="E39" s="16">
        <f>+PRECOZ!D21</f>
        <v>0.03</v>
      </c>
      <c r="F39" s="38"/>
      <c r="G39" s="38"/>
      <c r="H39" s="38"/>
      <c r="I39" s="14">
        <f t="shared" si="6"/>
        <v>414.34499999999974</v>
      </c>
      <c r="J39" s="14">
        <f t="shared" si="8"/>
        <v>1098.0199999999993</v>
      </c>
      <c r="K39" s="14">
        <f t="shared" si="7"/>
        <v>14</v>
      </c>
    </row>
    <row r="40" spans="1:11" x14ac:dyDescent="0.45">
      <c r="A40" s="37">
        <f t="shared" si="3"/>
        <v>45983</v>
      </c>
      <c r="B40" s="14">
        <f t="shared" si="0"/>
        <v>60.44999999999996</v>
      </c>
      <c r="C40" s="21">
        <f t="shared" si="4"/>
        <v>230</v>
      </c>
      <c r="D40" s="15">
        <f>+PRECOZ!C22</f>
        <v>0.4</v>
      </c>
      <c r="E40" s="16">
        <f>+PRECOZ!D22</f>
        <v>0.03</v>
      </c>
      <c r="F40" s="38"/>
      <c r="G40" s="38"/>
      <c r="H40" s="38"/>
      <c r="I40" s="14">
        <f t="shared" si="6"/>
        <v>417.10499999999973</v>
      </c>
      <c r="J40" s="14">
        <f t="shared" si="8"/>
        <v>1515.1249999999991</v>
      </c>
      <c r="K40" s="14">
        <f t="shared" si="7"/>
        <v>14</v>
      </c>
    </row>
    <row r="41" spans="1:11" x14ac:dyDescent="0.45">
      <c r="A41" s="37">
        <f t="shared" si="3"/>
        <v>45984</v>
      </c>
      <c r="B41" s="14">
        <f t="shared" si="0"/>
        <v>60.849999999999959</v>
      </c>
      <c r="C41" s="21">
        <f t="shared" si="4"/>
        <v>230</v>
      </c>
      <c r="D41" s="15">
        <f>+PRECOZ!C23</f>
        <v>0.4</v>
      </c>
      <c r="E41" s="16">
        <f>+PRECOZ!D23</f>
        <v>0.03</v>
      </c>
      <c r="F41" s="38"/>
      <c r="G41" s="38"/>
      <c r="H41" s="38"/>
      <c r="I41" s="14">
        <f t="shared" si="6"/>
        <v>419.86499999999972</v>
      </c>
      <c r="J41" s="14">
        <f t="shared" si="8"/>
        <v>1934.9899999999989</v>
      </c>
      <c r="K41" s="14">
        <f t="shared" si="7"/>
        <v>14</v>
      </c>
    </row>
    <row r="42" spans="1:11" x14ac:dyDescent="0.45">
      <c r="A42" s="37">
        <f t="shared" si="3"/>
        <v>45985</v>
      </c>
      <c r="B42" s="14">
        <f t="shared" ref="B42:B73" si="9">+B41+D41</f>
        <v>61.249999999999957</v>
      </c>
      <c r="C42" s="21">
        <f t="shared" si="4"/>
        <v>230</v>
      </c>
      <c r="D42" s="15">
        <f>+PRECOZ!C24</f>
        <v>0.4</v>
      </c>
      <c r="E42" s="16">
        <f>+PRECOZ!D24</f>
        <v>0.03</v>
      </c>
      <c r="F42" s="38"/>
      <c r="G42" s="38"/>
      <c r="H42" s="38"/>
      <c r="I42" s="14">
        <f t="shared" si="6"/>
        <v>422.62499999999966</v>
      </c>
      <c r="J42" s="14">
        <f t="shared" si="8"/>
        <v>2357.6149999999984</v>
      </c>
      <c r="K42" s="14">
        <f t="shared" si="7"/>
        <v>14</v>
      </c>
    </row>
    <row r="43" spans="1:11" x14ac:dyDescent="0.45">
      <c r="A43" s="37">
        <f t="shared" si="3"/>
        <v>45986</v>
      </c>
      <c r="B43" s="14">
        <f t="shared" si="9"/>
        <v>61.649999999999956</v>
      </c>
      <c r="C43" s="21">
        <f t="shared" si="4"/>
        <v>230</v>
      </c>
      <c r="D43" s="15">
        <f>+PRECOZ!C25</f>
        <v>0.4</v>
      </c>
      <c r="E43" s="16">
        <f>+PRECOZ!D25</f>
        <v>0.03</v>
      </c>
      <c r="F43" s="38"/>
      <c r="G43" s="38"/>
      <c r="H43" s="38"/>
      <c r="I43" s="14">
        <f t="shared" si="6"/>
        <v>425.38499999999965</v>
      </c>
      <c r="J43" s="14">
        <f t="shared" si="8"/>
        <v>2782.9999999999982</v>
      </c>
      <c r="K43" s="14">
        <f t="shared" si="7"/>
        <v>14</v>
      </c>
    </row>
    <row r="44" spans="1:11" x14ac:dyDescent="0.45">
      <c r="A44" s="37">
        <f t="shared" si="3"/>
        <v>45987</v>
      </c>
      <c r="B44" s="14">
        <f t="shared" si="9"/>
        <v>62.049999999999955</v>
      </c>
      <c r="C44" s="21">
        <f t="shared" si="4"/>
        <v>230</v>
      </c>
      <c r="D44" s="15">
        <f>+PRECOZ!C26</f>
        <v>0.4</v>
      </c>
      <c r="E44" s="16">
        <f>+PRECOZ!D26</f>
        <v>0.03</v>
      </c>
      <c r="F44" s="38"/>
      <c r="G44" s="38"/>
      <c r="H44" s="38"/>
      <c r="I44" s="14">
        <f t="shared" si="6"/>
        <v>428.1449999999997</v>
      </c>
      <c r="J44" s="14">
        <f t="shared" si="8"/>
        <v>3211.1449999999977</v>
      </c>
      <c r="K44" s="14">
        <f t="shared" si="7"/>
        <v>14.5</v>
      </c>
    </row>
    <row r="45" spans="1:11" x14ac:dyDescent="0.45">
      <c r="A45" s="37">
        <f t="shared" si="3"/>
        <v>45988</v>
      </c>
      <c r="B45" s="14">
        <f t="shared" si="9"/>
        <v>62.449999999999953</v>
      </c>
      <c r="C45" s="21">
        <f t="shared" si="4"/>
        <v>230</v>
      </c>
      <c r="D45" s="15">
        <f>+PRECOZ!C27</f>
        <v>0.4</v>
      </c>
      <c r="E45" s="16">
        <f>+PRECOZ!D27</f>
        <v>0.03</v>
      </c>
      <c r="F45" s="38"/>
      <c r="G45" s="38"/>
      <c r="H45" s="38"/>
      <c r="I45" s="14">
        <f t="shared" si="6"/>
        <v>430.90499999999969</v>
      </c>
      <c r="J45" s="14">
        <f t="shared" si="8"/>
        <v>3642.0499999999975</v>
      </c>
      <c r="K45" s="14">
        <f t="shared" si="7"/>
        <v>14.5</v>
      </c>
    </row>
    <row r="46" spans="1:11" x14ac:dyDescent="0.45">
      <c r="A46" s="37">
        <f t="shared" si="3"/>
        <v>45989</v>
      </c>
      <c r="B46" s="14">
        <f t="shared" si="9"/>
        <v>62.849999999999952</v>
      </c>
      <c r="C46" s="21">
        <f t="shared" si="4"/>
        <v>230</v>
      </c>
      <c r="D46" s="15">
        <f>+PRECOZ!C28</f>
        <v>0.4</v>
      </c>
      <c r="E46" s="16">
        <f>+PRECOZ!D28</f>
        <v>0.03</v>
      </c>
      <c r="F46" s="38"/>
      <c r="G46" s="38"/>
      <c r="H46" s="38"/>
      <c r="I46" s="14">
        <f t="shared" si="6"/>
        <v>433.66499999999962</v>
      </c>
      <c r="J46" s="14">
        <f t="shared" si="8"/>
        <v>4075.714999999997</v>
      </c>
      <c r="K46" s="14">
        <f t="shared" si="7"/>
        <v>14.5</v>
      </c>
    </row>
    <row r="47" spans="1:11" x14ac:dyDescent="0.45">
      <c r="A47" s="37">
        <f t="shared" si="3"/>
        <v>45990</v>
      </c>
      <c r="B47" s="14">
        <f t="shared" si="9"/>
        <v>63.24999999999995</v>
      </c>
      <c r="C47" s="21">
        <f t="shared" si="4"/>
        <v>230</v>
      </c>
      <c r="D47" s="15">
        <f>+PRECOZ!C29</f>
        <v>0.4</v>
      </c>
      <c r="E47" s="16">
        <f>+PRECOZ!D29</f>
        <v>0.03</v>
      </c>
      <c r="F47" s="38"/>
      <c r="G47" s="38"/>
      <c r="H47" s="38"/>
      <c r="I47" s="14">
        <f t="shared" si="6"/>
        <v>436.42499999999961</v>
      </c>
      <c r="J47" s="14">
        <f t="shared" si="8"/>
        <v>4512.1399999999967</v>
      </c>
      <c r="K47" s="14">
        <f t="shared" si="7"/>
        <v>14.5</v>
      </c>
    </row>
    <row r="48" spans="1:11" x14ac:dyDescent="0.45">
      <c r="A48" s="37">
        <f t="shared" si="3"/>
        <v>45991</v>
      </c>
      <c r="B48" s="14">
        <f t="shared" si="9"/>
        <v>63.649999999999949</v>
      </c>
      <c r="C48" s="21">
        <f t="shared" si="4"/>
        <v>230</v>
      </c>
      <c r="D48" s="15">
        <f>+PRECOZ!C30</f>
        <v>0.4</v>
      </c>
      <c r="E48" s="16">
        <f>+PRECOZ!D30</f>
        <v>0.03</v>
      </c>
      <c r="F48" s="38"/>
      <c r="G48" s="38"/>
      <c r="H48" s="38"/>
      <c r="I48" s="14">
        <f t="shared" si="6"/>
        <v>439.18499999999966</v>
      </c>
      <c r="J48" s="14">
        <f t="shared" si="8"/>
        <v>4951.3249999999962</v>
      </c>
      <c r="K48" s="14">
        <f t="shared" si="7"/>
        <v>14.5</v>
      </c>
    </row>
    <row r="49" spans="1:11" x14ac:dyDescent="0.45">
      <c r="A49" s="37">
        <f t="shared" si="3"/>
        <v>45992</v>
      </c>
      <c r="B49" s="14">
        <f t="shared" si="9"/>
        <v>64.049999999999955</v>
      </c>
      <c r="C49" s="21">
        <f t="shared" si="4"/>
        <v>230</v>
      </c>
      <c r="D49" s="15">
        <f>+PRECOZ!C31</f>
        <v>0.45</v>
      </c>
      <c r="E49" s="16">
        <f>+PRECOZ!D31</f>
        <v>0.03</v>
      </c>
      <c r="F49" s="38"/>
      <c r="G49" s="38"/>
      <c r="H49" s="38"/>
      <c r="I49" s="14">
        <f t="shared" si="6"/>
        <v>441.94499999999971</v>
      </c>
      <c r="J49" s="14">
        <f t="shared" si="8"/>
        <v>5393.2699999999959</v>
      </c>
      <c r="K49" s="14">
        <f t="shared" si="7"/>
        <v>14.5</v>
      </c>
    </row>
    <row r="50" spans="1:11" x14ac:dyDescent="0.45">
      <c r="A50" s="37">
        <f t="shared" si="3"/>
        <v>45993</v>
      </c>
      <c r="B50" s="14">
        <f t="shared" si="9"/>
        <v>64.499999999999957</v>
      </c>
      <c r="C50" s="21">
        <f t="shared" si="4"/>
        <v>230</v>
      </c>
      <c r="D50" s="15">
        <f>+PRECOZ!C32</f>
        <v>0.45</v>
      </c>
      <c r="E50" s="16">
        <f>+PRECOZ!D32</f>
        <v>0.03</v>
      </c>
      <c r="F50" s="38"/>
      <c r="G50" s="38"/>
      <c r="H50" s="38"/>
      <c r="I50" s="14">
        <f t="shared" si="6"/>
        <v>445.04999999999973</v>
      </c>
      <c r="J50" s="14">
        <f t="shared" si="8"/>
        <v>5838.3199999999961</v>
      </c>
      <c r="K50" s="14">
        <f t="shared" si="7"/>
        <v>15</v>
      </c>
    </row>
    <row r="51" spans="1:11" x14ac:dyDescent="0.45">
      <c r="A51" s="37">
        <f t="shared" si="3"/>
        <v>45994</v>
      </c>
      <c r="B51" s="14">
        <f t="shared" si="9"/>
        <v>64.94999999999996</v>
      </c>
      <c r="C51" s="21">
        <f t="shared" si="4"/>
        <v>230</v>
      </c>
      <c r="D51" s="15">
        <f>+PRECOZ!C33</f>
        <v>0.45</v>
      </c>
      <c r="E51" s="16">
        <f>+PRECOZ!D33</f>
        <v>0.03</v>
      </c>
      <c r="F51" s="38"/>
      <c r="G51" s="38"/>
      <c r="H51" s="38"/>
      <c r="I51" s="14">
        <f t="shared" si="6"/>
        <v>448.15499999999975</v>
      </c>
      <c r="J51" s="14">
        <f t="shared" si="8"/>
        <v>6286.4749999999958</v>
      </c>
      <c r="K51" s="14">
        <f t="shared" si="7"/>
        <v>15</v>
      </c>
    </row>
    <row r="52" spans="1:11" x14ac:dyDescent="0.45">
      <c r="A52" s="37">
        <f t="shared" si="3"/>
        <v>45995</v>
      </c>
      <c r="B52" s="14">
        <f t="shared" si="9"/>
        <v>65.399999999999963</v>
      </c>
      <c r="C52" s="21">
        <f t="shared" si="4"/>
        <v>230</v>
      </c>
      <c r="D52" s="15">
        <f>+PRECOZ!C34</f>
        <v>0.45</v>
      </c>
      <c r="E52" s="16">
        <f>+PRECOZ!D34</f>
        <v>0.03</v>
      </c>
      <c r="F52" s="38"/>
      <c r="G52" s="38"/>
      <c r="H52" s="38"/>
      <c r="I52" s="14">
        <f t="shared" si="6"/>
        <v>451.25999999999976</v>
      </c>
      <c r="J52" s="14">
        <f t="shared" si="8"/>
        <v>6737.7349999999951</v>
      </c>
      <c r="K52" s="14">
        <f t="shared" si="7"/>
        <v>15</v>
      </c>
    </row>
    <row r="53" spans="1:11" x14ac:dyDescent="0.45">
      <c r="A53" s="37">
        <f t="shared" si="3"/>
        <v>45996</v>
      </c>
      <c r="B53" s="14">
        <f t="shared" si="9"/>
        <v>65.849999999999966</v>
      </c>
      <c r="C53" s="21">
        <f t="shared" si="4"/>
        <v>230</v>
      </c>
      <c r="D53" s="15">
        <f>+PRECOZ!C35</f>
        <v>0.45</v>
      </c>
      <c r="E53" s="16">
        <f>+PRECOZ!D35</f>
        <v>0.03</v>
      </c>
      <c r="F53" s="38"/>
      <c r="G53" s="38"/>
      <c r="H53" s="38"/>
      <c r="I53" s="14">
        <f t="shared" si="6"/>
        <v>454.36499999999972</v>
      </c>
      <c r="J53" s="14">
        <f t="shared" si="8"/>
        <v>7192.0999999999949</v>
      </c>
      <c r="K53" s="14">
        <f t="shared" si="7"/>
        <v>15</v>
      </c>
    </row>
    <row r="54" spans="1:11" x14ac:dyDescent="0.45">
      <c r="A54" s="37">
        <f t="shared" si="3"/>
        <v>45997</v>
      </c>
      <c r="B54" s="14">
        <f t="shared" si="9"/>
        <v>66.299999999999969</v>
      </c>
      <c r="C54" s="21">
        <f t="shared" si="4"/>
        <v>230</v>
      </c>
      <c r="D54" s="15">
        <f>+PRECOZ!C36</f>
        <v>0.45</v>
      </c>
      <c r="E54" s="16">
        <f>+PRECOZ!D36</f>
        <v>0.03</v>
      </c>
      <c r="F54" s="38"/>
      <c r="G54" s="38"/>
      <c r="H54" s="38"/>
      <c r="I54" s="14">
        <f t="shared" si="6"/>
        <v>457.46999999999974</v>
      </c>
      <c r="J54" s="14">
        <f t="shared" si="8"/>
        <v>7649.5699999999943</v>
      </c>
      <c r="K54" s="14">
        <f t="shared" si="7"/>
        <v>15</v>
      </c>
    </row>
    <row r="55" spans="1:11" x14ac:dyDescent="0.45">
      <c r="A55" s="37">
        <f t="shared" si="3"/>
        <v>45998</v>
      </c>
      <c r="B55" s="14">
        <f t="shared" si="9"/>
        <v>66.749999999999972</v>
      </c>
      <c r="C55" s="21">
        <f t="shared" si="4"/>
        <v>230</v>
      </c>
      <c r="D55" s="15">
        <f>+PRECOZ!C37</f>
        <v>0.45</v>
      </c>
      <c r="E55" s="16">
        <f>+PRECOZ!D37</f>
        <v>0.03</v>
      </c>
      <c r="F55" s="38"/>
      <c r="G55" s="38"/>
      <c r="H55" s="38"/>
      <c r="I55" s="14">
        <f t="shared" si="6"/>
        <v>460.57499999999976</v>
      </c>
      <c r="J55" s="14">
        <f t="shared" si="8"/>
        <v>8110.1449999999941</v>
      </c>
      <c r="K55" s="14">
        <f t="shared" si="7"/>
        <v>15.5</v>
      </c>
    </row>
    <row r="56" spans="1:11" x14ac:dyDescent="0.45">
      <c r="A56" s="37">
        <f t="shared" si="3"/>
        <v>45999</v>
      </c>
      <c r="B56" s="14">
        <f t="shared" si="9"/>
        <v>67.199999999999974</v>
      </c>
      <c r="C56" s="21">
        <f t="shared" si="4"/>
        <v>230</v>
      </c>
      <c r="D56" s="15">
        <f>+PRECOZ!C38</f>
        <v>0.45</v>
      </c>
      <c r="E56" s="16">
        <f>+PRECOZ!D38</f>
        <v>0.03</v>
      </c>
      <c r="F56" s="38"/>
      <c r="G56" s="38"/>
      <c r="H56" s="38"/>
      <c r="I56" s="14">
        <f t="shared" si="6"/>
        <v>463.67999999999978</v>
      </c>
      <c r="J56" s="14">
        <f t="shared" si="8"/>
        <v>8573.8249999999935</v>
      </c>
      <c r="K56" s="14">
        <f t="shared" si="7"/>
        <v>15.5</v>
      </c>
    </row>
    <row r="57" spans="1:11" x14ac:dyDescent="0.45">
      <c r="A57" s="37">
        <f t="shared" si="3"/>
        <v>46000</v>
      </c>
      <c r="B57" s="14">
        <f t="shared" si="9"/>
        <v>67.649999999999977</v>
      </c>
      <c r="C57" s="21">
        <f t="shared" si="4"/>
        <v>230</v>
      </c>
      <c r="D57" s="15">
        <f>+PRECOZ!C39</f>
        <v>0.45</v>
      </c>
      <c r="E57" s="16">
        <f>+PRECOZ!D39</f>
        <v>0.03</v>
      </c>
      <c r="F57" s="38"/>
      <c r="G57" s="38"/>
      <c r="H57" s="38"/>
      <c r="I57" s="14">
        <f t="shared" si="6"/>
        <v>466.7849999999998</v>
      </c>
      <c r="J57" s="14">
        <f t="shared" si="8"/>
        <v>9040.6099999999933</v>
      </c>
      <c r="K57" s="14">
        <f t="shared" si="7"/>
        <v>15.5</v>
      </c>
    </row>
    <row r="58" spans="1:11" x14ac:dyDescent="0.45">
      <c r="A58" s="37">
        <f t="shared" si="3"/>
        <v>46001</v>
      </c>
      <c r="B58" s="14">
        <f t="shared" si="9"/>
        <v>68.09999999999998</v>
      </c>
      <c r="C58" s="21">
        <f t="shared" si="4"/>
        <v>230</v>
      </c>
      <c r="D58" s="15">
        <f>+PRECOZ!C40</f>
        <v>0.45</v>
      </c>
      <c r="E58" s="16">
        <f>+PRECOZ!D40</f>
        <v>0.03</v>
      </c>
      <c r="F58" s="38"/>
      <c r="G58" s="38"/>
      <c r="H58" s="38"/>
      <c r="I58" s="14">
        <f t="shared" si="6"/>
        <v>469.88999999999982</v>
      </c>
      <c r="J58" s="14">
        <f t="shared" si="8"/>
        <v>9510.4999999999927</v>
      </c>
      <c r="K58" s="14">
        <f t="shared" si="7"/>
        <v>15.5</v>
      </c>
    </row>
    <row r="59" spans="1:11" x14ac:dyDescent="0.45">
      <c r="A59" s="37">
        <f t="shared" si="3"/>
        <v>46002</v>
      </c>
      <c r="B59" s="14">
        <f t="shared" si="9"/>
        <v>68.549999999999983</v>
      </c>
      <c r="C59" s="21">
        <f t="shared" si="4"/>
        <v>230</v>
      </c>
      <c r="D59" s="15">
        <f>+PRECOZ!C41</f>
        <v>0.45</v>
      </c>
      <c r="E59" s="16">
        <f>+PRECOZ!D41</f>
        <v>0.03</v>
      </c>
      <c r="F59" s="38"/>
      <c r="G59" s="38"/>
      <c r="H59" s="38"/>
      <c r="I59" s="14">
        <f t="shared" si="6"/>
        <v>472.99499999999983</v>
      </c>
      <c r="J59" s="14">
        <f t="shared" si="8"/>
        <v>9983.4949999999917</v>
      </c>
      <c r="K59" s="14">
        <f t="shared" si="7"/>
        <v>16</v>
      </c>
    </row>
    <row r="60" spans="1:11" x14ac:dyDescent="0.45">
      <c r="A60" s="37">
        <f t="shared" si="3"/>
        <v>46003</v>
      </c>
      <c r="B60" s="14">
        <f t="shared" si="9"/>
        <v>68.999999999999986</v>
      </c>
      <c r="C60" s="21">
        <f t="shared" si="4"/>
        <v>230</v>
      </c>
      <c r="D60" s="15">
        <f>+PRECOZ!C42</f>
        <v>0.5</v>
      </c>
      <c r="E60" s="16">
        <f>+PRECOZ!D42</f>
        <v>0.03</v>
      </c>
      <c r="F60" s="38"/>
      <c r="G60" s="38"/>
      <c r="H60" s="38"/>
      <c r="I60" s="14">
        <f t="shared" si="6"/>
        <v>476.09999999999985</v>
      </c>
      <c r="J60" s="14">
        <f t="shared" si="8"/>
        <v>10459.594999999992</v>
      </c>
      <c r="K60" s="14">
        <f t="shared" si="7"/>
        <v>16</v>
      </c>
    </row>
    <row r="61" spans="1:11" x14ac:dyDescent="0.45">
      <c r="A61" s="37">
        <f t="shared" si="3"/>
        <v>46004</v>
      </c>
      <c r="B61" s="14">
        <f t="shared" si="9"/>
        <v>69.499999999999986</v>
      </c>
      <c r="C61" s="21">
        <f t="shared" si="4"/>
        <v>230</v>
      </c>
      <c r="D61" s="15">
        <f>+PRECOZ!C43</f>
        <v>0.5</v>
      </c>
      <c r="E61" s="16">
        <f>+PRECOZ!D43</f>
        <v>0.03</v>
      </c>
      <c r="F61" s="38"/>
      <c r="G61" s="38"/>
      <c r="H61" s="38"/>
      <c r="I61" s="14">
        <f t="shared" si="6"/>
        <v>479.5499999999999</v>
      </c>
      <c r="J61" s="14">
        <f t="shared" si="8"/>
        <v>10939.144999999991</v>
      </c>
      <c r="K61" s="14">
        <f t="shared" si="7"/>
        <v>16</v>
      </c>
    </row>
    <row r="62" spans="1:11" x14ac:dyDescent="0.45">
      <c r="A62" s="37">
        <f t="shared" si="3"/>
        <v>46005</v>
      </c>
      <c r="B62" s="14">
        <f t="shared" si="9"/>
        <v>69.999999999999986</v>
      </c>
      <c r="C62" s="21">
        <f t="shared" si="4"/>
        <v>230</v>
      </c>
      <c r="D62" s="15">
        <f>+PRECOZ!C44</f>
        <v>0.5</v>
      </c>
      <c r="E62" s="16">
        <f>+PRECOZ!D44</f>
        <v>0.03</v>
      </c>
      <c r="F62" s="38"/>
      <c r="G62" s="38"/>
      <c r="H62" s="38"/>
      <c r="I62" s="14">
        <f t="shared" si="6"/>
        <v>482.99999999999994</v>
      </c>
      <c r="J62" s="14">
        <f t="shared" si="8"/>
        <v>11422.144999999991</v>
      </c>
      <c r="K62" s="14">
        <f t="shared" si="7"/>
        <v>16</v>
      </c>
    </row>
    <row r="63" spans="1:11" x14ac:dyDescent="0.45">
      <c r="A63" s="37">
        <f t="shared" si="3"/>
        <v>46006</v>
      </c>
      <c r="B63" s="14">
        <f t="shared" si="9"/>
        <v>70.499999999999986</v>
      </c>
      <c r="C63" s="21">
        <f t="shared" si="4"/>
        <v>230</v>
      </c>
      <c r="D63" s="15">
        <f>+PRECOZ!C45</f>
        <v>0.5</v>
      </c>
      <c r="E63" s="16">
        <f>+PRECOZ!D45</f>
        <v>0.03</v>
      </c>
      <c r="F63" s="38"/>
      <c r="G63" s="38"/>
      <c r="H63" s="38"/>
      <c r="I63" s="14">
        <f t="shared" si="6"/>
        <v>486.44999999999982</v>
      </c>
      <c r="J63" s="14">
        <f t="shared" si="8"/>
        <v>11908.59499999999</v>
      </c>
      <c r="K63" s="14">
        <f t="shared" si="7"/>
        <v>16</v>
      </c>
    </row>
    <row r="64" spans="1:11" x14ac:dyDescent="0.45">
      <c r="A64" s="37">
        <f t="shared" si="3"/>
        <v>46007</v>
      </c>
      <c r="B64" s="14">
        <f t="shared" si="9"/>
        <v>70.999999999999986</v>
      </c>
      <c r="C64" s="21">
        <f t="shared" si="4"/>
        <v>230</v>
      </c>
      <c r="D64" s="15">
        <f>+PRECOZ!C46</f>
        <v>0.5</v>
      </c>
      <c r="E64" s="16">
        <f>+PRECOZ!D46</f>
        <v>0.03</v>
      </c>
      <c r="F64" s="38"/>
      <c r="G64" s="38"/>
      <c r="H64" s="38"/>
      <c r="I64" s="14">
        <f t="shared" si="6"/>
        <v>489.89999999999986</v>
      </c>
      <c r="J64" s="14">
        <f t="shared" si="8"/>
        <v>12398.49499999999</v>
      </c>
      <c r="K64" s="14">
        <f t="shared" si="7"/>
        <v>16.5</v>
      </c>
    </row>
    <row r="65" spans="1:11" x14ac:dyDescent="0.45">
      <c r="A65" s="37">
        <f t="shared" si="3"/>
        <v>46008</v>
      </c>
      <c r="B65" s="14">
        <f t="shared" si="9"/>
        <v>71.499999999999986</v>
      </c>
      <c r="C65" s="21">
        <f t="shared" si="4"/>
        <v>230</v>
      </c>
      <c r="D65" s="15">
        <f>+PRECOZ!C47</f>
        <v>0.5</v>
      </c>
      <c r="E65" s="16">
        <f>+PRECOZ!D47</f>
        <v>0.03</v>
      </c>
      <c r="F65" s="38"/>
      <c r="G65" s="38"/>
      <c r="H65" s="38"/>
      <c r="I65" s="14">
        <f t="shared" si="6"/>
        <v>493.34999999999991</v>
      </c>
      <c r="J65" s="14">
        <f t="shared" si="8"/>
        <v>12891.84499999999</v>
      </c>
      <c r="K65" s="14">
        <f t="shared" si="7"/>
        <v>16.5</v>
      </c>
    </row>
    <row r="66" spans="1:11" x14ac:dyDescent="0.45">
      <c r="A66" s="37">
        <f t="shared" si="3"/>
        <v>46009</v>
      </c>
      <c r="B66" s="14">
        <f t="shared" si="9"/>
        <v>71.999999999999986</v>
      </c>
      <c r="C66" s="21">
        <f t="shared" si="4"/>
        <v>230</v>
      </c>
      <c r="D66" s="15">
        <f>+PRECOZ!C48</f>
        <v>0.5</v>
      </c>
      <c r="E66" s="16">
        <f>+PRECOZ!D48</f>
        <v>0.03</v>
      </c>
      <c r="F66" s="38"/>
      <c r="G66" s="38"/>
      <c r="H66" s="38"/>
      <c r="I66" s="14">
        <f t="shared" si="6"/>
        <v>496.79999999999995</v>
      </c>
      <c r="J66" s="14">
        <f t="shared" si="8"/>
        <v>13388.64499999999</v>
      </c>
      <c r="K66" s="14">
        <f t="shared" si="7"/>
        <v>16.5</v>
      </c>
    </row>
    <row r="67" spans="1:11" x14ac:dyDescent="0.45">
      <c r="A67" s="37">
        <f t="shared" si="3"/>
        <v>46010</v>
      </c>
      <c r="B67" s="14">
        <f t="shared" si="9"/>
        <v>72.499999999999986</v>
      </c>
      <c r="C67" s="21">
        <f t="shared" si="4"/>
        <v>230</v>
      </c>
      <c r="D67" s="15">
        <f>+PRECOZ!C49</f>
        <v>0.6</v>
      </c>
      <c r="E67" s="16">
        <f>+PRECOZ!D49</f>
        <v>0.03</v>
      </c>
      <c r="F67" s="38"/>
      <c r="G67" s="38"/>
      <c r="H67" s="38"/>
      <c r="I67" s="14">
        <f t="shared" si="6"/>
        <v>500.24999999999983</v>
      </c>
      <c r="J67" s="14">
        <f t="shared" si="8"/>
        <v>13888.89499999999</v>
      </c>
      <c r="K67" s="14">
        <f t="shared" si="7"/>
        <v>16.5</v>
      </c>
    </row>
    <row r="68" spans="1:11" x14ac:dyDescent="0.45">
      <c r="A68" s="37">
        <f t="shared" si="3"/>
        <v>46011</v>
      </c>
      <c r="B68" s="14">
        <f t="shared" si="9"/>
        <v>73.09999999999998</v>
      </c>
      <c r="C68" s="21">
        <f t="shared" si="4"/>
        <v>230</v>
      </c>
      <c r="D68" s="15">
        <f>+PRECOZ!C50</f>
        <v>0.6</v>
      </c>
      <c r="E68" s="16">
        <f>+PRECOZ!D50</f>
        <v>0.03</v>
      </c>
      <c r="F68" s="38"/>
      <c r="G68" s="38"/>
      <c r="H68" s="38"/>
      <c r="I68" s="14">
        <f t="shared" si="6"/>
        <v>504.38999999999982</v>
      </c>
      <c r="J68" s="14">
        <f t="shared" si="8"/>
        <v>14393.284999999989</v>
      </c>
      <c r="K68" s="14">
        <f t="shared" si="7"/>
        <v>17</v>
      </c>
    </row>
    <row r="69" spans="1:11" x14ac:dyDescent="0.45">
      <c r="A69" s="37">
        <f t="shared" si="3"/>
        <v>46012</v>
      </c>
      <c r="B69" s="14">
        <f t="shared" si="9"/>
        <v>73.699999999999974</v>
      </c>
      <c r="C69" s="21">
        <f t="shared" si="4"/>
        <v>230</v>
      </c>
      <c r="D69" s="15">
        <f>+PRECOZ!C51</f>
        <v>0.6</v>
      </c>
      <c r="E69" s="16">
        <f>+PRECOZ!D51</f>
        <v>0.03</v>
      </c>
      <c r="F69" s="38"/>
      <c r="G69" s="38"/>
      <c r="H69" s="38"/>
      <c r="I69" s="14">
        <f t="shared" si="6"/>
        <v>508.52999999999975</v>
      </c>
      <c r="J69" s="14">
        <f t="shared" si="8"/>
        <v>14901.814999999988</v>
      </c>
      <c r="K69" s="14">
        <f t="shared" si="7"/>
        <v>17</v>
      </c>
    </row>
    <row r="70" spans="1:11" x14ac:dyDescent="0.45">
      <c r="A70" s="37">
        <f t="shared" si="3"/>
        <v>46013</v>
      </c>
      <c r="B70" s="14">
        <f t="shared" si="9"/>
        <v>74.299999999999969</v>
      </c>
      <c r="C70" s="21">
        <f t="shared" si="4"/>
        <v>230</v>
      </c>
      <c r="D70" s="15">
        <f>+PRECOZ!C52</f>
        <v>0.6</v>
      </c>
      <c r="E70" s="16">
        <f>+PRECOZ!D52</f>
        <v>0.03</v>
      </c>
      <c r="F70" s="38"/>
      <c r="G70" s="38"/>
      <c r="H70" s="38"/>
      <c r="I70" s="14">
        <f t="shared" si="6"/>
        <v>512.66999999999973</v>
      </c>
      <c r="J70" s="14">
        <f t="shared" si="8"/>
        <v>15414.484999999988</v>
      </c>
      <c r="K70" s="14">
        <f t="shared" si="7"/>
        <v>17</v>
      </c>
    </row>
    <row r="71" spans="1:11" x14ac:dyDescent="0.45">
      <c r="A71" s="37">
        <f t="shared" si="3"/>
        <v>46014</v>
      </c>
      <c r="B71" s="14">
        <f t="shared" si="9"/>
        <v>74.899999999999963</v>
      </c>
      <c r="C71" s="21">
        <f t="shared" si="4"/>
        <v>230</v>
      </c>
      <c r="D71" s="15">
        <f>+PRECOZ!C53</f>
        <v>0.6</v>
      </c>
      <c r="E71" s="16">
        <f>+PRECOZ!D53</f>
        <v>0.03</v>
      </c>
      <c r="F71" s="38"/>
      <c r="G71" s="38"/>
      <c r="H71" s="38"/>
      <c r="I71" s="14">
        <f t="shared" si="6"/>
        <v>516.80999999999972</v>
      </c>
      <c r="J71" s="14">
        <f t="shared" si="8"/>
        <v>15931.294999999987</v>
      </c>
      <c r="K71" s="14">
        <f t="shared" si="7"/>
        <v>17</v>
      </c>
    </row>
    <row r="72" spans="1:11" x14ac:dyDescent="0.45">
      <c r="A72" s="37">
        <f t="shared" si="3"/>
        <v>46015</v>
      </c>
      <c r="B72" s="14">
        <f t="shared" si="9"/>
        <v>75.499999999999957</v>
      </c>
      <c r="C72" s="21">
        <f t="shared" si="4"/>
        <v>230</v>
      </c>
      <c r="D72" s="15">
        <f>+PRECOZ!C54</f>
        <v>0.6</v>
      </c>
      <c r="E72" s="16">
        <f>+PRECOZ!D54</f>
        <v>0.03</v>
      </c>
      <c r="F72" s="38"/>
      <c r="G72" s="38"/>
      <c r="H72" s="38"/>
      <c r="I72" s="14">
        <f t="shared" si="6"/>
        <v>520.9499999999997</v>
      </c>
      <c r="J72" s="14">
        <f t="shared" si="8"/>
        <v>16452.244999999988</v>
      </c>
      <c r="K72" s="14">
        <f t="shared" si="7"/>
        <v>17.5</v>
      </c>
    </row>
    <row r="73" spans="1:11" x14ac:dyDescent="0.45">
      <c r="A73" s="37">
        <f t="shared" si="3"/>
        <v>46016</v>
      </c>
      <c r="B73" s="14">
        <f t="shared" si="9"/>
        <v>76.099999999999952</v>
      </c>
      <c r="C73" s="21">
        <f t="shared" si="4"/>
        <v>230</v>
      </c>
      <c r="D73" s="15">
        <f>+PRECOZ!C55</f>
        <v>0.6</v>
      </c>
      <c r="E73" s="16">
        <f>+PRECOZ!D55</f>
        <v>0.03</v>
      </c>
      <c r="F73" s="38"/>
      <c r="G73" s="38"/>
      <c r="H73" s="38"/>
      <c r="I73" s="14">
        <f t="shared" si="6"/>
        <v>525.08999999999969</v>
      </c>
      <c r="J73" s="14">
        <f t="shared" si="8"/>
        <v>16977.334999999988</v>
      </c>
      <c r="K73" s="14">
        <f t="shared" si="7"/>
        <v>17.5</v>
      </c>
    </row>
    <row r="74" spans="1:11" x14ac:dyDescent="0.45">
      <c r="A74" s="37">
        <f t="shared" si="3"/>
        <v>46017</v>
      </c>
      <c r="B74" s="14">
        <f t="shared" ref="B74:B97" si="10">+B73+D73</f>
        <v>76.699999999999946</v>
      </c>
      <c r="C74" s="21">
        <f t="shared" si="4"/>
        <v>230</v>
      </c>
      <c r="D74" s="15">
        <f>+PRECOZ!C56</f>
        <v>0.6</v>
      </c>
      <c r="E74" s="16">
        <f>+PRECOZ!D56</f>
        <v>0.03</v>
      </c>
      <c r="F74" s="38"/>
      <c r="G74" s="38"/>
      <c r="H74" s="38"/>
      <c r="I74" s="14">
        <f t="shared" si="6"/>
        <v>529.22999999999968</v>
      </c>
      <c r="J74" s="14">
        <f t="shared" si="8"/>
        <v>17506.564999999988</v>
      </c>
      <c r="K74" s="14">
        <f t="shared" si="7"/>
        <v>17.5</v>
      </c>
    </row>
    <row r="75" spans="1:11" x14ac:dyDescent="0.45">
      <c r="A75" s="37">
        <f t="shared" ref="A75:A138" si="11">+A74+1</f>
        <v>46018</v>
      </c>
      <c r="B75" s="14">
        <f t="shared" si="10"/>
        <v>77.29999999999994</v>
      </c>
      <c r="C75" s="21">
        <f t="shared" ref="C75:C138" si="12">+C74</f>
        <v>230</v>
      </c>
      <c r="D75" s="15">
        <f>+PRECOZ!C57</f>
        <v>0.6</v>
      </c>
      <c r="E75" s="16">
        <f>+PRECOZ!D57</f>
        <v>0.03</v>
      </c>
      <c r="F75" s="38"/>
      <c r="G75" s="38"/>
      <c r="H75" s="38"/>
      <c r="I75" s="14">
        <f t="shared" si="6"/>
        <v>533.36999999999955</v>
      </c>
      <c r="J75" s="14">
        <f t="shared" si="8"/>
        <v>18039.934999999987</v>
      </c>
      <c r="K75" s="14">
        <f t="shared" si="7"/>
        <v>18</v>
      </c>
    </row>
    <row r="76" spans="1:11" x14ac:dyDescent="0.45">
      <c r="A76" s="37">
        <f t="shared" si="11"/>
        <v>46019</v>
      </c>
      <c r="B76" s="14">
        <f t="shared" si="10"/>
        <v>77.899999999999935</v>
      </c>
      <c r="C76" s="21">
        <f t="shared" si="12"/>
        <v>230</v>
      </c>
      <c r="D76" s="15">
        <f>+PRECOZ!C58</f>
        <v>0.6</v>
      </c>
      <c r="E76" s="16">
        <f>+PRECOZ!D58</f>
        <v>0.03</v>
      </c>
      <c r="F76" s="38"/>
      <c r="G76" s="38"/>
      <c r="H76" s="38"/>
      <c r="I76" s="14">
        <f t="shared" si="6"/>
        <v>537.50999999999954</v>
      </c>
      <c r="J76" s="14">
        <f t="shared" si="8"/>
        <v>18577.444999999985</v>
      </c>
      <c r="K76" s="14">
        <f t="shared" si="7"/>
        <v>18</v>
      </c>
    </row>
    <row r="77" spans="1:11" x14ac:dyDescent="0.45">
      <c r="A77" s="37">
        <f t="shared" si="11"/>
        <v>46020</v>
      </c>
      <c r="B77" s="14">
        <f t="shared" si="10"/>
        <v>78.499999999999929</v>
      </c>
      <c r="C77" s="21">
        <f t="shared" si="12"/>
        <v>230</v>
      </c>
      <c r="D77" s="15">
        <f>+PRECOZ!C59</f>
        <v>0.6</v>
      </c>
      <c r="E77" s="16">
        <f>+PRECOZ!D59</f>
        <v>0.03</v>
      </c>
      <c r="F77" s="38"/>
      <c r="G77" s="38"/>
      <c r="H77" s="38"/>
      <c r="I77" s="14">
        <f t="shared" si="6"/>
        <v>541.64999999999952</v>
      </c>
      <c r="J77" s="14">
        <f t="shared" si="8"/>
        <v>19119.094999999983</v>
      </c>
      <c r="K77" s="14">
        <f t="shared" si="7"/>
        <v>18</v>
      </c>
    </row>
    <row r="78" spans="1:11" x14ac:dyDescent="0.45">
      <c r="A78" s="37">
        <f t="shared" si="11"/>
        <v>46021</v>
      </c>
      <c r="B78" s="14">
        <f t="shared" si="10"/>
        <v>79.099999999999923</v>
      </c>
      <c r="C78" s="21">
        <f t="shared" si="12"/>
        <v>230</v>
      </c>
      <c r="D78" s="15">
        <f>+PRECOZ!C60</f>
        <v>0.6</v>
      </c>
      <c r="E78" s="16">
        <f>+PRECOZ!D60</f>
        <v>0.03</v>
      </c>
      <c r="F78" s="38"/>
      <c r="G78" s="38"/>
      <c r="H78" s="38"/>
      <c r="I78" s="14">
        <f t="shared" si="6"/>
        <v>545.7899999999994</v>
      </c>
      <c r="J78" s="14">
        <f t="shared" si="8"/>
        <v>19664.884999999984</v>
      </c>
      <c r="K78" s="14">
        <f t="shared" si="7"/>
        <v>18</v>
      </c>
    </row>
    <row r="79" spans="1:11" x14ac:dyDescent="0.45">
      <c r="A79" s="37">
        <f t="shared" si="11"/>
        <v>46022</v>
      </c>
      <c r="B79" s="14">
        <f t="shared" si="10"/>
        <v>79.699999999999918</v>
      </c>
      <c r="C79" s="21">
        <f t="shared" si="12"/>
        <v>230</v>
      </c>
      <c r="D79" s="15">
        <f>+PRECOZ!C61</f>
        <v>0.6</v>
      </c>
      <c r="E79" s="16">
        <f>+PRECOZ!D61</f>
        <v>0.03</v>
      </c>
      <c r="F79" s="38"/>
      <c r="G79" s="38"/>
      <c r="H79" s="38"/>
      <c r="I79" s="14">
        <f t="shared" si="6"/>
        <v>549.92999999999938</v>
      </c>
      <c r="J79" s="14">
        <f t="shared" si="8"/>
        <v>20214.814999999984</v>
      </c>
      <c r="K79" s="14">
        <f t="shared" si="7"/>
        <v>18.5</v>
      </c>
    </row>
    <row r="80" spans="1:11" x14ac:dyDescent="0.45">
      <c r="A80" s="37">
        <f t="shared" si="11"/>
        <v>46023</v>
      </c>
      <c r="B80" s="14">
        <f t="shared" si="10"/>
        <v>80.299999999999912</v>
      </c>
      <c r="C80" s="21">
        <f t="shared" si="12"/>
        <v>230</v>
      </c>
      <c r="D80" s="15">
        <f>+PRECOZ!C62</f>
        <v>0.6</v>
      </c>
      <c r="E80" s="16">
        <f>+PRECOZ!D62</f>
        <v>0.03</v>
      </c>
      <c r="F80" s="38"/>
      <c r="G80" s="38"/>
      <c r="H80" s="38"/>
      <c r="I80" s="14">
        <f t="shared" si="6"/>
        <v>554.06999999999937</v>
      </c>
      <c r="J80" s="14">
        <f t="shared" si="8"/>
        <v>20768.884999999984</v>
      </c>
      <c r="K80" s="14">
        <f t="shared" si="7"/>
        <v>18.5</v>
      </c>
    </row>
    <row r="81" spans="1:11" x14ac:dyDescent="0.45">
      <c r="A81" s="37">
        <f t="shared" si="11"/>
        <v>46024</v>
      </c>
      <c r="B81" s="14">
        <f t="shared" si="10"/>
        <v>80.899999999999906</v>
      </c>
      <c r="C81" s="21">
        <f t="shared" si="12"/>
        <v>230</v>
      </c>
      <c r="D81" s="15">
        <f>+PRECOZ!C63</f>
        <v>0.6</v>
      </c>
      <c r="E81" s="16">
        <f>+PRECOZ!D63</f>
        <v>0.03</v>
      </c>
      <c r="F81" s="38"/>
      <c r="G81" s="38"/>
      <c r="H81" s="38"/>
      <c r="I81" s="14">
        <f t="shared" si="6"/>
        <v>558.20999999999924</v>
      </c>
      <c r="J81" s="14">
        <f t="shared" si="8"/>
        <v>21327.094999999983</v>
      </c>
      <c r="K81" s="14">
        <f t="shared" si="7"/>
        <v>18.5</v>
      </c>
    </row>
    <row r="82" spans="1:11" x14ac:dyDescent="0.45">
      <c r="A82" s="37">
        <f t="shared" si="11"/>
        <v>46025</v>
      </c>
      <c r="B82" s="14">
        <f t="shared" si="10"/>
        <v>81.499999999999901</v>
      </c>
      <c r="C82" s="21">
        <f t="shared" si="12"/>
        <v>230</v>
      </c>
      <c r="D82" s="15">
        <f>+PRECOZ!C64</f>
        <v>0.6</v>
      </c>
      <c r="E82" s="16">
        <f>+PRECOZ!D64</f>
        <v>0.03</v>
      </c>
      <c r="F82" s="38"/>
      <c r="G82" s="38"/>
      <c r="H82" s="38"/>
      <c r="I82" s="14">
        <f t="shared" si="6"/>
        <v>562.34999999999923</v>
      </c>
      <c r="J82" s="14">
        <f t="shared" si="8"/>
        <v>21889.444999999982</v>
      </c>
      <c r="K82" s="14">
        <f t="shared" si="7"/>
        <v>18.5</v>
      </c>
    </row>
    <row r="83" spans="1:11" x14ac:dyDescent="0.45">
      <c r="A83" s="37">
        <f t="shared" si="11"/>
        <v>46026</v>
      </c>
      <c r="B83" s="14">
        <f t="shared" si="10"/>
        <v>82.099999999999895</v>
      </c>
      <c r="C83" s="21">
        <f t="shared" si="12"/>
        <v>230</v>
      </c>
      <c r="D83" s="15">
        <f>+PRECOZ!C65</f>
        <v>0.6</v>
      </c>
      <c r="E83" s="16">
        <f>+PRECOZ!D65</f>
        <v>0.03</v>
      </c>
      <c r="F83" s="38"/>
      <c r="G83" s="38"/>
      <c r="H83" s="38"/>
      <c r="I83" s="14">
        <f t="shared" si="6"/>
        <v>566.48999999999933</v>
      </c>
      <c r="J83" s="14">
        <f t="shared" si="8"/>
        <v>22455.934999999979</v>
      </c>
      <c r="K83" s="14">
        <f t="shared" si="7"/>
        <v>19</v>
      </c>
    </row>
    <row r="84" spans="1:11" x14ac:dyDescent="0.45">
      <c r="A84" s="37">
        <f t="shared" si="11"/>
        <v>46027</v>
      </c>
      <c r="B84" s="14">
        <f t="shared" si="10"/>
        <v>82.699999999999889</v>
      </c>
      <c r="C84" s="21">
        <f t="shared" si="12"/>
        <v>230</v>
      </c>
      <c r="D84" s="15">
        <f>+PRECOZ!C66</f>
        <v>0.6</v>
      </c>
      <c r="E84" s="16">
        <f>+PRECOZ!D66</f>
        <v>0.03</v>
      </c>
      <c r="F84" s="38"/>
      <c r="G84" s="38"/>
      <c r="H84" s="38"/>
      <c r="I84" s="14">
        <f t="shared" si="6"/>
        <v>570.6299999999992</v>
      </c>
      <c r="J84" s="14">
        <f t="shared" si="8"/>
        <v>23026.564999999981</v>
      </c>
      <c r="K84" s="14">
        <f t="shared" si="7"/>
        <v>19</v>
      </c>
    </row>
    <row r="85" spans="1:11" x14ac:dyDescent="0.45">
      <c r="A85" s="37">
        <f t="shared" si="11"/>
        <v>46028</v>
      </c>
      <c r="B85" s="14">
        <f t="shared" si="10"/>
        <v>83.299999999999883</v>
      </c>
      <c r="C85" s="21">
        <f t="shared" si="12"/>
        <v>230</v>
      </c>
      <c r="D85" s="15">
        <f>+PRECOZ!C67</f>
        <v>0.6</v>
      </c>
      <c r="E85" s="16">
        <f>+PRECOZ!D67</f>
        <v>0.03</v>
      </c>
      <c r="F85" s="38"/>
      <c r="G85" s="38"/>
      <c r="H85" s="38"/>
      <c r="I85" s="14">
        <f t="shared" si="6"/>
        <v>574.76999999999919</v>
      </c>
      <c r="J85" s="14">
        <f t="shared" si="8"/>
        <v>23601.334999999981</v>
      </c>
      <c r="K85" s="14">
        <f t="shared" si="7"/>
        <v>19</v>
      </c>
    </row>
    <row r="86" spans="1:11" x14ac:dyDescent="0.45">
      <c r="A86" s="37">
        <f t="shared" si="11"/>
        <v>46029</v>
      </c>
      <c r="B86" s="14">
        <f t="shared" si="10"/>
        <v>83.899999999999878</v>
      </c>
      <c r="C86" s="21">
        <f t="shared" si="12"/>
        <v>230</v>
      </c>
      <c r="D86" s="15">
        <f>+PRECOZ!C68</f>
        <v>0.6</v>
      </c>
      <c r="E86" s="16">
        <f>+PRECOZ!D68</f>
        <v>0.03</v>
      </c>
      <c r="F86" s="38"/>
      <c r="G86" s="38"/>
      <c r="H86" s="38"/>
      <c r="I86" s="14">
        <f t="shared" si="6"/>
        <v>578.90999999999917</v>
      </c>
      <c r="J86" s="14">
        <f t="shared" si="8"/>
        <v>24180.244999999981</v>
      </c>
      <c r="K86" s="14">
        <f t="shared" si="7"/>
        <v>19.5</v>
      </c>
    </row>
    <row r="87" spans="1:11" x14ac:dyDescent="0.45">
      <c r="A87" s="37">
        <f t="shared" si="11"/>
        <v>46030</v>
      </c>
      <c r="B87" s="14">
        <f t="shared" si="10"/>
        <v>84.499999999999872</v>
      </c>
      <c r="C87" s="21">
        <f t="shared" si="12"/>
        <v>230</v>
      </c>
      <c r="D87" s="15">
        <f>+PRECOZ!C69</f>
        <v>0.6</v>
      </c>
      <c r="E87" s="16">
        <f>+PRECOZ!D69</f>
        <v>0.03</v>
      </c>
      <c r="F87" s="38"/>
      <c r="G87" s="38"/>
      <c r="H87" s="38"/>
      <c r="I87" s="14">
        <f t="shared" si="6"/>
        <v>583.04999999999916</v>
      </c>
      <c r="J87" s="14">
        <f t="shared" si="8"/>
        <v>24763.29499999998</v>
      </c>
      <c r="K87" s="14">
        <f t="shared" si="7"/>
        <v>19.5</v>
      </c>
    </row>
    <row r="88" spans="1:11" x14ac:dyDescent="0.45">
      <c r="A88" s="37">
        <f t="shared" si="11"/>
        <v>46031</v>
      </c>
      <c r="B88" s="14">
        <f t="shared" si="10"/>
        <v>85.099999999999866</v>
      </c>
      <c r="C88" s="21">
        <f t="shared" si="12"/>
        <v>230</v>
      </c>
      <c r="D88" s="15">
        <f>+PRECOZ!C70</f>
        <v>0.6</v>
      </c>
      <c r="E88" s="16">
        <f>+PRECOZ!D70</f>
        <v>0.03</v>
      </c>
      <c r="F88" s="38"/>
      <c r="G88" s="38"/>
      <c r="H88" s="38"/>
      <c r="I88" s="14">
        <f t="shared" si="6"/>
        <v>587.18999999999903</v>
      </c>
      <c r="J88" s="14">
        <f t="shared" si="8"/>
        <v>25350.484999999979</v>
      </c>
      <c r="K88" s="14">
        <f t="shared" si="7"/>
        <v>19.5</v>
      </c>
    </row>
    <row r="89" spans="1:11" x14ac:dyDescent="0.45">
      <c r="A89" s="37">
        <f t="shared" si="11"/>
        <v>46032</v>
      </c>
      <c r="B89" s="14">
        <f t="shared" si="10"/>
        <v>85.699999999999861</v>
      </c>
      <c r="C89" s="21">
        <f t="shared" si="12"/>
        <v>230</v>
      </c>
      <c r="D89" s="15">
        <f>+PRECOZ!C71</f>
        <v>0.6</v>
      </c>
      <c r="E89" s="16">
        <f>+PRECOZ!D71</f>
        <v>0.03</v>
      </c>
      <c r="F89" s="38"/>
      <c r="G89" s="38"/>
      <c r="H89" s="38"/>
      <c r="I89" s="14">
        <f t="shared" ref="I89:I97" si="13">+B89*E89*C89</f>
        <v>591.32999999999902</v>
      </c>
      <c r="J89" s="14">
        <f t="shared" si="8"/>
        <v>25941.814999999977</v>
      </c>
      <c r="K89" s="14">
        <f t="shared" ref="K89:K97" si="14">+MROUND(I89/30,0.5)</f>
        <v>19.5</v>
      </c>
    </row>
    <row r="90" spans="1:11" x14ac:dyDescent="0.45">
      <c r="A90" s="37">
        <f t="shared" si="11"/>
        <v>46033</v>
      </c>
      <c r="B90" s="14">
        <f t="shared" si="10"/>
        <v>86.299999999999855</v>
      </c>
      <c r="C90" s="21">
        <f t="shared" si="12"/>
        <v>230</v>
      </c>
      <c r="D90" s="15">
        <f>+PRECOZ!C72</f>
        <v>0.6</v>
      </c>
      <c r="E90" s="16">
        <f>+PRECOZ!D72</f>
        <v>0.03</v>
      </c>
      <c r="F90" s="38"/>
      <c r="G90" s="38"/>
      <c r="H90" s="38"/>
      <c r="I90" s="14">
        <f t="shared" si="13"/>
        <v>595.469999999999</v>
      </c>
      <c r="J90" s="14">
        <f t="shared" ref="J90:J97" si="15">+I90+J89</f>
        <v>26537.284999999974</v>
      </c>
      <c r="K90" s="14">
        <f t="shared" si="14"/>
        <v>20</v>
      </c>
    </row>
    <row r="91" spans="1:11" x14ac:dyDescent="0.45">
      <c r="A91" s="37">
        <f t="shared" si="11"/>
        <v>46034</v>
      </c>
      <c r="B91" s="14">
        <f t="shared" si="10"/>
        <v>86.899999999999849</v>
      </c>
      <c r="C91" s="21">
        <f t="shared" si="12"/>
        <v>230</v>
      </c>
      <c r="D91" s="15">
        <f>+PRECOZ!C73</f>
        <v>0.6</v>
      </c>
      <c r="E91" s="16">
        <f>+PRECOZ!D73</f>
        <v>0.03</v>
      </c>
      <c r="F91" s="38"/>
      <c r="G91" s="38"/>
      <c r="H91" s="38"/>
      <c r="I91" s="14">
        <f t="shared" si="13"/>
        <v>599.60999999999888</v>
      </c>
      <c r="J91" s="14">
        <f t="shared" si="15"/>
        <v>27136.894999999975</v>
      </c>
      <c r="K91" s="14">
        <f t="shared" si="14"/>
        <v>20</v>
      </c>
    </row>
    <row r="92" spans="1:11" x14ac:dyDescent="0.45">
      <c r="A92" s="37">
        <f t="shared" si="11"/>
        <v>46035</v>
      </c>
      <c r="B92" s="14">
        <f t="shared" si="10"/>
        <v>87.499999999999844</v>
      </c>
      <c r="C92" s="21">
        <f t="shared" si="12"/>
        <v>230</v>
      </c>
      <c r="D92" s="15">
        <f>+PRECOZ!C74</f>
        <v>0.6</v>
      </c>
      <c r="E92" s="16">
        <f>+PRECOZ!D74</f>
        <v>0.03</v>
      </c>
      <c r="F92" s="38"/>
      <c r="G92" s="38"/>
      <c r="H92" s="38"/>
      <c r="I92" s="14">
        <f t="shared" si="13"/>
        <v>603.74999999999886</v>
      </c>
      <c r="J92" s="14">
        <f t="shared" si="15"/>
        <v>27740.644999999975</v>
      </c>
      <c r="K92" s="14">
        <f t="shared" si="14"/>
        <v>20</v>
      </c>
    </row>
    <row r="93" spans="1:11" x14ac:dyDescent="0.45">
      <c r="A93" s="37">
        <f t="shared" si="11"/>
        <v>46036</v>
      </c>
      <c r="B93" s="14">
        <f t="shared" si="10"/>
        <v>88.099999999999838</v>
      </c>
      <c r="C93" s="21">
        <f t="shared" si="12"/>
        <v>230</v>
      </c>
      <c r="D93" s="15">
        <f>+PRECOZ!C75</f>
        <v>0.6</v>
      </c>
      <c r="E93" s="16">
        <f>+PRECOZ!D75</f>
        <v>0.03</v>
      </c>
      <c r="F93" s="38"/>
      <c r="G93" s="38"/>
      <c r="H93" s="38"/>
      <c r="I93" s="14">
        <f t="shared" si="13"/>
        <v>607.88999999999885</v>
      </c>
      <c r="J93" s="14">
        <f t="shared" si="15"/>
        <v>28348.534999999974</v>
      </c>
      <c r="K93" s="14">
        <f t="shared" si="14"/>
        <v>20.5</v>
      </c>
    </row>
    <row r="94" spans="1:11" x14ac:dyDescent="0.45">
      <c r="A94" s="37">
        <f t="shared" si="11"/>
        <v>46037</v>
      </c>
      <c r="B94" s="14">
        <f t="shared" si="10"/>
        <v>88.699999999999832</v>
      </c>
      <c r="C94" s="21">
        <f t="shared" si="12"/>
        <v>230</v>
      </c>
      <c r="D94" s="15">
        <f>+PRECOZ!C76</f>
        <v>0.6</v>
      </c>
      <c r="E94" s="16">
        <f>+PRECOZ!D76</f>
        <v>0.03</v>
      </c>
      <c r="F94" s="38"/>
      <c r="G94" s="38"/>
      <c r="H94" s="38"/>
      <c r="I94" s="14">
        <f t="shared" si="13"/>
        <v>612.02999999999884</v>
      </c>
      <c r="J94" s="14">
        <f t="shared" si="15"/>
        <v>28960.564999999973</v>
      </c>
      <c r="K94" s="14">
        <f t="shared" si="14"/>
        <v>20.5</v>
      </c>
    </row>
    <row r="95" spans="1:11" x14ac:dyDescent="0.45">
      <c r="A95" s="37">
        <f t="shared" si="11"/>
        <v>46038</v>
      </c>
      <c r="B95" s="14">
        <f t="shared" si="10"/>
        <v>89.299999999999827</v>
      </c>
      <c r="C95" s="21">
        <f t="shared" si="12"/>
        <v>230</v>
      </c>
      <c r="D95" s="15">
        <f>+PRECOZ!C77</f>
        <v>0.65</v>
      </c>
      <c r="E95" s="16">
        <f>+PRECOZ!D77</f>
        <v>0.03</v>
      </c>
      <c r="F95" s="38"/>
      <c r="G95" s="38"/>
      <c r="H95" s="38"/>
      <c r="I95" s="14">
        <f t="shared" si="13"/>
        <v>616.16999999999871</v>
      </c>
      <c r="J95" s="14">
        <f t="shared" si="15"/>
        <v>29576.734999999971</v>
      </c>
      <c r="K95" s="14">
        <f t="shared" si="14"/>
        <v>20.5</v>
      </c>
    </row>
    <row r="96" spans="1:11" x14ac:dyDescent="0.45">
      <c r="A96" s="37">
        <f t="shared" si="11"/>
        <v>46039</v>
      </c>
      <c r="B96" s="14">
        <f t="shared" si="10"/>
        <v>89.949999999999832</v>
      </c>
      <c r="C96" s="21">
        <f t="shared" si="12"/>
        <v>230</v>
      </c>
      <c r="D96" s="15">
        <f>+PRECOZ!C78</f>
        <v>0.65</v>
      </c>
      <c r="E96" s="16">
        <f>+PRECOZ!D78</f>
        <v>0.03</v>
      </c>
      <c r="F96" s="38"/>
      <c r="G96" s="38"/>
      <c r="H96" s="38"/>
      <c r="I96" s="14">
        <f t="shared" si="13"/>
        <v>620.65499999999884</v>
      </c>
      <c r="J96" s="14">
        <f t="shared" si="15"/>
        <v>30197.38999999997</v>
      </c>
      <c r="K96" s="14">
        <f t="shared" si="14"/>
        <v>20.5</v>
      </c>
    </row>
    <row r="97" spans="1:11" x14ac:dyDescent="0.45">
      <c r="A97" s="37">
        <f t="shared" si="11"/>
        <v>46040</v>
      </c>
      <c r="B97" s="14">
        <f t="shared" si="10"/>
        <v>90.599999999999838</v>
      </c>
      <c r="C97" s="21">
        <f t="shared" si="12"/>
        <v>230</v>
      </c>
      <c r="D97" s="15">
        <f>+PRECOZ!C79</f>
        <v>0.65</v>
      </c>
      <c r="E97" s="16">
        <f>+PRECOZ!D79</f>
        <v>0.03</v>
      </c>
      <c r="F97" s="38"/>
      <c r="G97" s="38"/>
      <c r="H97" s="38"/>
      <c r="I97" s="14">
        <f t="shared" si="13"/>
        <v>625.13999999999885</v>
      </c>
      <c r="J97" s="14">
        <f t="shared" si="15"/>
        <v>30822.52999999997</v>
      </c>
      <c r="K97" s="14">
        <f t="shared" si="14"/>
        <v>21</v>
      </c>
    </row>
    <row r="98" spans="1:11" x14ac:dyDescent="0.45">
      <c r="A98" s="37">
        <f t="shared" si="11"/>
        <v>46041</v>
      </c>
      <c r="B98" s="14">
        <f t="shared" ref="B98:B157" si="16">+B97+D97</f>
        <v>91.249999999999844</v>
      </c>
      <c r="C98" s="21">
        <f t="shared" si="12"/>
        <v>230</v>
      </c>
      <c r="D98" s="15">
        <f>+PRECOZ!C80</f>
        <v>0.65</v>
      </c>
      <c r="E98" s="16">
        <f>+PRECOZ!D80</f>
        <v>0.03</v>
      </c>
      <c r="F98" s="38"/>
      <c r="G98" s="38"/>
      <c r="H98" s="38"/>
      <c r="I98" s="14">
        <f t="shared" ref="I98:I157" si="17">+B98*E98*C98</f>
        <v>629.62499999999898</v>
      </c>
      <c r="J98" s="14">
        <f t="shared" ref="J98:J157" si="18">+I98+J97</f>
        <v>31452.15499999997</v>
      </c>
      <c r="K98" s="14">
        <f t="shared" ref="K98:K157" si="19">+MROUND(I98/30,0.5)</f>
        <v>21</v>
      </c>
    </row>
    <row r="99" spans="1:11" x14ac:dyDescent="0.45">
      <c r="A99" s="37">
        <f t="shared" si="11"/>
        <v>46042</v>
      </c>
      <c r="B99" s="14">
        <f t="shared" si="16"/>
        <v>91.899999999999849</v>
      </c>
      <c r="C99" s="21">
        <f t="shared" si="12"/>
        <v>230</v>
      </c>
      <c r="D99" s="15">
        <f>+PRECOZ!C81</f>
        <v>0.65</v>
      </c>
      <c r="E99" s="16">
        <f>+PRECOZ!D81</f>
        <v>0.03</v>
      </c>
      <c r="F99" s="38"/>
      <c r="G99" s="38"/>
      <c r="H99" s="38"/>
      <c r="I99" s="14">
        <f t="shared" si="17"/>
        <v>634.10999999999888</v>
      </c>
      <c r="J99" s="14">
        <f t="shared" si="18"/>
        <v>32086.26499999997</v>
      </c>
      <c r="K99" s="14">
        <f t="shared" si="19"/>
        <v>21</v>
      </c>
    </row>
    <row r="100" spans="1:11" x14ac:dyDescent="0.45">
      <c r="A100" s="37">
        <f t="shared" si="11"/>
        <v>46043</v>
      </c>
      <c r="B100" s="14">
        <f t="shared" si="16"/>
        <v>92.549999999999855</v>
      </c>
      <c r="C100" s="21">
        <f t="shared" si="12"/>
        <v>230</v>
      </c>
      <c r="D100" s="15">
        <f>+PRECOZ!C82</f>
        <v>0.65</v>
      </c>
      <c r="E100" s="16">
        <f>+PRECOZ!D82</f>
        <v>0.03</v>
      </c>
      <c r="F100" s="38"/>
      <c r="G100" s="38"/>
      <c r="H100" s="38"/>
      <c r="I100" s="14">
        <f t="shared" si="17"/>
        <v>638.594999999999</v>
      </c>
      <c r="J100" s="14">
        <f t="shared" si="18"/>
        <v>32724.859999999968</v>
      </c>
      <c r="K100" s="14">
        <f t="shared" si="19"/>
        <v>21.5</v>
      </c>
    </row>
    <row r="101" spans="1:11" x14ac:dyDescent="0.45">
      <c r="A101" s="37">
        <f t="shared" si="11"/>
        <v>46044</v>
      </c>
      <c r="B101" s="14">
        <f t="shared" si="16"/>
        <v>93.199999999999861</v>
      </c>
      <c r="C101" s="21">
        <f t="shared" si="12"/>
        <v>230</v>
      </c>
      <c r="D101" s="15">
        <f>+PRECOZ!C83</f>
        <v>0.65</v>
      </c>
      <c r="E101" s="16">
        <f>+PRECOZ!D83</f>
        <v>0.03</v>
      </c>
      <c r="F101" s="38"/>
      <c r="G101" s="38"/>
      <c r="H101" s="38"/>
      <c r="I101" s="14">
        <f t="shared" si="17"/>
        <v>643.07999999999902</v>
      </c>
      <c r="J101" s="14">
        <f t="shared" si="18"/>
        <v>33367.939999999966</v>
      </c>
      <c r="K101" s="14">
        <f t="shared" si="19"/>
        <v>21.5</v>
      </c>
    </row>
    <row r="102" spans="1:11" x14ac:dyDescent="0.45">
      <c r="A102" s="37">
        <f t="shared" si="11"/>
        <v>46045</v>
      </c>
      <c r="B102" s="14">
        <f t="shared" si="16"/>
        <v>93.849999999999866</v>
      </c>
      <c r="C102" s="21">
        <f t="shared" si="12"/>
        <v>230</v>
      </c>
      <c r="D102" s="15">
        <f>+PRECOZ!C84</f>
        <v>0.65</v>
      </c>
      <c r="E102" s="16">
        <f>+PRECOZ!D84</f>
        <v>0.03</v>
      </c>
      <c r="F102" s="38"/>
      <c r="G102" s="38"/>
      <c r="H102" s="38"/>
      <c r="I102" s="14">
        <f t="shared" si="17"/>
        <v>647.56499999999903</v>
      </c>
      <c r="J102" s="14">
        <f t="shared" si="18"/>
        <v>34015.504999999968</v>
      </c>
      <c r="K102" s="14">
        <f t="shared" si="19"/>
        <v>21.5</v>
      </c>
    </row>
    <row r="103" spans="1:11" x14ac:dyDescent="0.45">
      <c r="A103" s="37">
        <f t="shared" si="11"/>
        <v>46046</v>
      </c>
      <c r="B103" s="14">
        <f t="shared" si="16"/>
        <v>94.499999999999872</v>
      </c>
      <c r="C103" s="21">
        <f t="shared" si="12"/>
        <v>230</v>
      </c>
      <c r="D103" s="15">
        <f>+PRECOZ!C85</f>
        <v>0.65</v>
      </c>
      <c r="E103" s="16">
        <f>+PRECOZ!D85</f>
        <v>0.03</v>
      </c>
      <c r="F103" s="38"/>
      <c r="G103" s="38"/>
      <c r="H103" s="38"/>
      <c r="I103" s="14">
        <f t="shared" si="17"/>
        <v>652.04999999999905</v>
      </c>
      <c r="J103" s="14">
        <f t="shared" si="18"/>
        <v>34667.554999999964</v>
      </c>
      <c r="K103" s="14">
        <f t="shared" si="19"/>
        <v>21.5</v>
      </c>
    </row>
    <row r="104" spans="1:11" x14ac:dyDescent="0.45">
      <c r="A104" s="37">
        <f t="shared" si="11"/>
        <v>46047</v>
      </c>
      <c r="B104" s="14">
        <f t="shared" si="16"/>
        <v>95.149999999999878</v>
      </c>
      <c r="C104" s="21">
        <f t="shared" si="12"/>
        <v>230</v>
      </c>
      <c r="D104" s="15">
        <f>+PRECOZ!C86</f>
        <v>0.65</v>
      </c>
      <c r="E104" s="16">
        <f>+PRECOZ!D86</f>
        <v>0.03</v>
      </c>
      <c r="F104" s="38"/>
      <c r="G104" s="38"/>
      <c r="H104" s="38"/>
      <c r="I104" s="14">
        <f t="shared" si="17"/>
        <v>656.53499999999917</v>
      </c>
      <c r="J104" s="14">
        <f t="shared" si="18"/>
        <v>35324.08999999996</v>
      </c>
      <c r="K104" s="14">
        <f t="shared" si="19"/>
        <v>22</v>
      </c>
    </row>
    <row r="105" spans="1:11" x14ac:dyDescent="0.45">
      <c r="A105" s="37">
        <f t="shared" si="11"/>
        <v>46048</v>
      </c>
      <c r="B105" s="14">
        <f t="shared" si="16"/>
        <v>95.799999999999883</v>
      </c>
      <c r="C105" s="21">
        <f t="shared" si="12"/>
        <v>230</v>
      </c>
      <c r="D105" s="15">
        <f>+PRECOZ!C87</f>
        <v>0.65</v>
      </c>
      <c r="E105" s="16">
        <f>+PRECOZ!D87</f>
        <v>0.03</v>
      </c>
      <c r="F105" s="38"/>
      <c r="G105" s="38"/>
      <c r="H105" s="38"/>
      <c r="I105" s="14">
        <f t="shared" si="17"/>
        <v>661.01999999999919</v>
      </c>
      <c r="J105" s="14">
        <f t="shared" si="18"/>
        <v>35985.109999999957</v>
      </c>
      <c r="K105" s="14">
        <f t="shared" si="19"/>
        <v>22</v>
      </c>
    </row>
    <row r="106" spans="1:11" x14ac:dyDescent="0.45">
      <c r="A106" s="37">
        <f t="shared" si="11"/>
        <v>46049</v>
      </c>
      <c r="B106" s="14">
        <f t="shared" si="16"/>
        <v>96.449999999999889</v>
      </c>
      <c r="C106" s="21">
        <f t="shared" si="12"/>
        <v>230</v>
      </c>
      <c r="D106" s="15">
        <f>+PRECOZ!C88</f>
        <v>0.65</v>
      </c>
      <c r="E106" s="16">
        <f>+PRECOZ!D88</f>
        <v>0.03</v>
      </c>
      <c r="F106" s="38"/>
      <c r="G106" s="38"/>
      <c r="H106" s="38"/>
      <c r="I106" s="14">
        <f t="shared" si="17"/>
        <v>665.5049999999992</v>
      </c>
      <c r="J106" s="14">
        <f t="shared" si="18"/>
        <v>36650.614999999954</v>
      </c>
      <c r="K106" s="14">
        <f t="shared" si="19"/>
        <v>22</v>
      </c>
    </row>
    <row r="107" spans="1:11" x14ac:dyDescent="0.45">
      <c r="A107" s="37">
        <f t="shared" si="11"/>
        <v>46050</v>
      </c>
      <c r="B107" s="14">
        <f t="shared" si="16"/>
        <v>97.099999999999895</v>
      </c>
      <c r="C107" s="21">
        <f t="shared" si="12"/>
        <v>230</v>
      </c>
      <c r="D107" s="15">
        <f>+PRECOZ!C89</f>
        <v>0.65</v>
      </c>
      <c r="E107" s="16">
        <f>+PRECOZ!D89</f>
        <v>0.03</v>
      </c>
      <c r="F107" s="38"/>
      <c r="G107" s="38"/>
      <c r="H107" s="38"/>
      <c r="I107" s="14">
        <f t="shared" si="17"/>
        <v>669.98999999999921</v>
      </c>
      <c r="J107" s="14">
        <f t="shared" si="18"/>
        <v>37320.604999999952</v>
      </c>
      <c r="K107" s="14">
        <f t="shared" si="19"/>
        <v>22.5</v>
      </c>
    </row>
    <row r="108" spans="1:11" x14ac:dyDescent="0.45">
      <c r="A108" s="37">
        <f t="shared" si="11"/>
        <v>46051</v>
      </c>
      <c r="B108" s="14">
        <f t="shared" si="16"/>
        <v>97.749999999999901</v>
      </c>
      <c r="C108" s="21">
        <f t="shared" si="12"/>
        <v>230</v>
      </c>
      <c r="D108" s="15">
        <f>+PRECOZ!C90</f>
        <v>0.65</v>
      </c>
      <c r="E108" s="16">
        <f>+PRECOZ!D90</f>
        <v>0.03</v>
      </c>
      <c r="F108" s="38"/>
      <c r="G108" s="38"/>
      <c r="H108" s="38"/>
      <c r="I108" s="14">
        <f t="shared" si="17"/>
        <v>674.47499999999934</v>
      </c>
      <c r="J108" s="14">
        <f t="shared" si="18"/>
        <v>37995.079999999951</v>
      </c>
      <c r="K108" s="14">
        <f t="shared" si="19"/>
        <v>22.5</v>
      </c>
    </row>
    <row r="109" spans="1:11" x14ac:dyDescent="0.45">
      <c r="A109" s="37">
        <f t="shared" si="11"/>
        <v>46052</v>
      </c>
      <c r="B109" s="14">
        <f t="shared" si="16"/>
        <v>98.399999999999906</v>
      </c>
      <c r="C109" s="21">
        <f t="shared" si="12"/>
        <v>230</v>
      </c>
      <c r="D109" s="15">
        <f>+PRECOZ!C91</f>
        <v>0.65</v>
      </c>
      <c r="E109" s="16">
        <f>+PRECOZ!D91</f>
        <v>0.03</v>
      </c>
      <c r="F109" s="38"/>
      <c r="G109" s="38"/>
      <c r="H109" s="38"/>
      <c r="I109" s="14">
        <f t="shared" si="17"/>
        <v>678.95999999999935</v>
      </c>
      <c r="J109" s="14">
        <f t="shared" si="18"/>
        <v>38674.03999999995</v>
      </c>
      <c r="K109" s="14">
        <f t="shared" si="19"/>
        <v>22.5</v>
      </c>
    </row>
    <row r="110" spans="1:11" x14ac:dyDescent="0.45">
      <c r="A110" s="37">
        <f t="shared" si="11"/>
        <v>46053</v>
      </c>
      <c r="B110" s="14">
        <f t="shared" si="16"/>
        <v>99.049999999999912</v>
      </c>
      <c r="C110" s="21">
        <f t="shared" si="12"/>
        <v>230</v>
      </c>
      <c r="D110" s="15">
        <f>+PRECOZ!C92</f>
        <v>0.65</v>
      </c>
      <c r="E110" s="16">
        <f>+PRECOZ!D92</f>
        <v>0.03</v>
      </c>
      <c r="F110" s="38"/>
      <c r="G110" s="38"/>
      <c r="H110" s="38"/>
      <c r="I110" s="14">
        <f t="shared" si="17"/>
        <v>683.44499999999937</v>
      </c>
      <c r="J110" s="14">
        <f t="shared" si="18"/>
        <v>39357.48499999995</v>
      </c>
      <c r="K110" s="14">
        <f t="shared" si="19"/>
        <v>23</v>
      </c>
    </row>
    <row r="111" spans="1:11" x14ac:dyDescent="0.45">
      <c r="A111" s="37">
        <f t="shared" si="11"/>
        <v>46054</v>
      </c>
      <c r="B111" s="14">
        <f t="shared" si="16"/>
        <v>99.699999999999918</v>
      </c>
      <c r="C111" s="21">
        <f t="shared" si="12"/>
        <v>230</v>
      </c>
      <c r="D111" s="15">
        <f>+PRECOZ!C93</f>
        <v>0.65</v>
      </c>
      <c r="E111" s="16">
        <f>+PRECOZ!D93</f>
        <v>0.03</v>
      </c>
      <c r="F111" s="38"/>
      <c r="G111" s="38"/>
      <c r="H111" s="38"/>
      <c r="I111" s="14">
        <f t="shared" si="17"/>
        <v>687.92999999999938</v>
      </c>
      <c r="J111" s="14">
        <f t="shared" si="18"/>
        <v>40045.41499999995</v>
      </c>
      <c r="K111" s="14">
        <f t="shared" si="19"/>
        <v>23</v>
      </c>
    </row>
    <row r="112" spans="1:11" x14ac:dyDescent="0.45">
      <c r="A112" s="37">
        <f t="shared" si="11"/>
        <v>46055</v>
      </c>
      <c r="B112" s="14">
        <f t="shared" si="16"/>
        <v>100.34999999999992</v>
      </c>
      <c r="C112" s="21">
        <f t="shared" si="12"/>
        <v>230</v>
      </c>
      <c r="D112" s="15">
        <f>+PRECOZ!C94</f>
        <v>0.65</v>
      </c>
      <c r="E112" s="16">
        <f>+PRECOZ!D94</f>
        <v>0.03</v>
      </c>
      <c r="F112" s="38"/>
      <c r="G112" s="38"/>
      <c r="H112" s="38"/>
      <c r="I112" s="14">
        <f t="shared" si="17"/>
        <v>692.41499999999951</v>
      </c>
      <c r="J112" s="14">
        <f t="shared" si="18"/>
        <v>40737.829999999951</v>
      </c>
      <c r="K112" s="14">
        <f t="shared" si="19"/>
        <v>23</v>
      </c>
    </row>
    <row r="113" spans="1:11" x14ac:dyDescent="0.45">
      <c r="A113" s="37">
        <f t="shared" si="11"/>
        <v>46056</v>
      </c>
      <c r="B113" s="14">
        <f t="shared" si="16"/>
        <v>100.99999999999993</v>
      </c>
      <c r="C113" s="21">
        <f t="shared" si="12"/>
        <v>230</v>
      </c>
      <c r="D113" s="15">
        <f>+PRECOZ!C95</f>
        <v>0.65</v>
      </c>
      <c r="E113" s="16">
        <f>+PRECOZ!D95</f>
        <v>0.03</v>
      </c>
      <c r="F113" s="38"/>
      <c r="G113" s="38"/>
      <c r="H113" s="38"/>
      <c r="I113" s="14">
        <f t="shared" si="17"/>
        <v>696.89999999999941</v>
      </c>
      <c r="J113" s="14">
        <f t="shared" si="18"/>
        <v>41434.729999999952</v>
      </c>
      <c r="K113" s="14">
        <f t="shared" si="19"/>
        <v>23</v>
      </c>
    </row>
    <row r="114" spans="1:11" x14ac:dyDescent="0.45">
      <c r="A114" s="37">
        <f t="shared" si="11"/>
        <v>46057</v>
      </c>
      <c r="B114" s="14">
        <f t="shared" si="16"/>
        <v>101.64999999999993</v>
      </c>
      <c r="C114" s="21">
        <f t="shared" si="12"/>
        <v>230</v>
      </c>
      <c r="D114" s="15">
        <f>+PRECOZ!C96</f>
        <v>0.65</v>
      </c>
      <c r="E114" s="16">
        <f>+PRECOZ!D96</f>
        <v>0.03</v>
      </c>
      <c r="F114" s="38"/>
      <c r="G114" s="38"/>
      <c r="H114" s="38"/>
      <c r="I114" s="14">
        <f t="shared" si="17"/>
        <v>701.38499999999954</v>
      </c>
      <c r="J114" s="14">
        <f t="shared" si="18"/>
        <v>42136.114999999954</v>
      </c>
      <c r="K114" s="14">
        <f t="shared" si="19"/>
        <v>23.5</v>
      </c>
    </row>
    <row r="115" spans="1:11" x14ac:dyDescent="0.45">
      <c r="A115" s="37">
        <f t="shared" si="11"/>
        <v>46058</v>
      </c>
      <c r="B115" s="14">
        <f t="shared" si="16"/>
        <v>102.29999999999994</v>
      </c>
      <c r="C115" s="21">
        <f t="shared" si="12"/>
        <v>230</v>
      </c>
      <c r="D115" s="15">
        <f>+PRECOZ!C97</f>
        <v>0.65</v>
      </c>
      <c r="E115" s="16">
        <f>+PRECOZ!D97</f>
        <v>0.03</v>
      </c>
      <c r="F115" s="38"/>
      <c r="G115" s="38"/>
      <c r="H115" s="38"/>
      <c r="I115" s="14">
        <f t="shared" si="17"/>
        <v>705.86999999999955</v>
      </c>
      <c r="J115" s="14">
        <f t="shared" si="18"/>
        <v>42841.984999999957</v>
      </c>
      <c r="K115" s="14">
        <f t="shared" si="19"/>
        <v>23.5</v>
      </c>
    </row>
    <row r="116" spans="1:11" x14ac:dyDescent="0.45">
      <c r="A116" s="37">
        <f t="shared" si="11"/>
        <v>46059</v>
      </c>
      <c r="B116" s="14">
        <f t="shared" si="16"/>
        <v>102.94999999999995</v>
      </c>
      <c r="C116" s="21">
        <f t="shared" si="12"/>
        <v>230</v>
      </c>
      <c r="D116" s="15">
        <f>+PRECOZ!C98</f>
        <v>0.65</v>
      </c>
      <c r="E116" s="16">
        <f>+PRECOZ!D98</f>
        <v>0.03</v>
      </c>
      <c r="F116" s="38"/>
      <c r="G116" s="38"/>
      <c r="H116" s="38"/>
      <c r="I116" s="14">
        <f t="shared" si="17"/>
        <v>710.35499999999968</v>
      </c>
      <c r="J116" s="14">
        <f t="shared" si="18"/>
        <v>43552.33999999996</v>
      </c>
      <c r="K116" s="14">
        <f t="shared" si="19"/>
        <v>23.5</v>
      </c>
    </row>
    <row r="117" spans="1:11" x14ac:dyDescent="0.45">
      <c r="A117" s="37">
        <f t="shared" si="11"/>
        <v>46060</v>
      </c>
      <c r="B117" s="14">
        <f t="shared" si="16"/>
        <v>103.59999999999995</v>
      </c>
      <c r="C117" s="21">
        <f t="shared" si="12"/>
        <v>230</v>
      </c>
      <c r="D117" s="15">
        <f>+PRECOZ!C99</f>
        <v>0.65</v>
      </c>
      <c r="E117" s="16">
        <f>+PRECOZ!D99</f>
        <v>0.03</v>
      </c>
      <c r="F117" s="38"/>
      <c r="G117" s="38"/>
      <c r="H117" s="38"/>
      <c r="I117" s="14">
        <f t="shared" si="17"/>
        <v>714.83999999999958</v>
      </c>
      <c r="J117" s="14">
        <f t="shared" si="18"/>
        <v>44267.179999999957</v>
      </c>
      <c r="K117" s="14">
        <f t="shared" si="19"/>
        <v>24</v>
      </c>
    </row>
    <row r="118" spans="1:11" x14ac:dyDescent="0.45">
      <c r="A118" s="37">
        <f t="shared" si="11"/>
        <v>46061</v>
      </c>
      <c r="B118" s="14">
        <f t="shared" si="16"/>
        <v>104.24999999999996</v>
      </c>
      <c r="C118" s="21">
        <f t="shared" si="12"/>
        <v>230</v>
      </c>
      <c r="D118" s="15">
        <f>+PRECOZ!C100</f>
        <v>0.65</v>
      </c>
      <c r="E118" s="16">
        <f>+PRECOZ!D100</f>
        <v>0.03</v>
      </c>
      <c r="F118" s="38"/>
      <c r="G118" s="38"/>
      <c r="H118" s="38"/>
      <c r="I118" s="14">
        <f t="shared" si="17"/>
        <v>719.3249999999997</v>
      </c>
      <c r="J118" s="14">
        <f t="shared" si="18"/>
        <v>44986.504999999954</v>
      </c>
      <c r="K118" s="14">
        <f t="shared" si="19"/>
        <v>24</v>
      </c>
    </row>
    <row r="119" spans="1:11" x14ac:dyDescent="0.45">
      <c r="A119" s="37">
        <f t="shared" si="11"/>
        <v>46062</v>
      </c>
      <c r="B119" s="14">
        <f t="shared" si="16"/>
        <v>104.89999999999996</v>
      </c>
      <c r="C119" s="21">
        <f t="shared" si="12"/>
        <v>230</v>
      </c>
      <c r="D119" s="15">
        <f>+PRECOZ!C101</f>
        <v>0.65</v>
      </c>
      <c r="E119" s="16">
        <f>+PRECOZ!D101</f>
        <v>0.03</v>
      </c>
      <c r="F119" s="38"/>
      <c r="G119" s="38"/>
      <c r="H119" s="38"/>
      <c r="I119" s="14">
        <f t="shared" si="17"/>
        <v>723.80999999999972</v>
      </c>
      <c r="J119" s="14">
        <f t="shared" si="18"/>
        <v>45710.314999999951</v>
      </c>
      <c r="K119" s="14">
        <f t="shared" si="19"/>
        <v>24</v>
      </c>
    </row>
    <row r="120" spans="1:11" x14ac:dyDescent="0.45">
      <c r="A120" s="37">
        <f t="shared" si="11"/>
        <v>46063</v>
      </c>
      <c r="B120" s="14">
        <f t="shared" si="16"/>
        <v>105.54999999999997</v>
      </c>
      <c r="C120" s="21">
        <f t="shared" si="12"/>
        <v>230</v>
      </c>
      <c r="D120" s="15">
        <f>+PRECOZ!C102</f>
        <v>0.7</v>
      </c>
      <c r="E120" s="16">
        <f>+PRECOZ!D102</f>
        <v>0.03</v>
      </c>
      <c r="F120" s="38"/>
      <c r="G120" s="38"/>
      <c r="H120" s="38"/>
      <c r="I120" s="14">
        <f t="shared" si="17"/>
        <v>728.29499999999973</v>
      </c>
      <c r="J120" s="14">
        <f t="shared" si="18"/>
        <v>46438.60999999995</v>
      </c>
      <c r="K120" s="14">
        <f t="shared" si="19"/>
        <v>24.5</v>
      </c>
    </row>
    <row r="121" spans="1:11" x14ac:dyDescent="0.45">
      <c r="A121" s="37">
        <f t="shared" si="11"/>
        <v>46064</v>
      </c>
      <c r="B121" s="14">
        <f t="shared" si="16"/>
        <v>106.24999999999997</v>
      </c>
      <c r="C121" s="21">
        <f t="shared" si="12"/>
        <v>230</v>
      </c>
      <c r="D121" s="15">
        <f>+PRECOZ!C103</f>
        <v>0.7</v>
      </c>
      <c r="E121" s="16">
        <f>+PRECOZ!D103</f>
        <v>0.03</v>
      </c>
      <c r="F121" s="38"/>
      <c r="G121" s="38"/>
      <c r="H121" s="38"/>
      <c r="I121" s="14">
        <f t="shared" si="17"/>
        <v>733.12499999999977</v>
      </c>
      <c r="J121" s="14">
        <f t="shared" si="18"/>
        <v>47171.73499999995</v>
      </c>
      <c r="K121" s="14">
        <f t="shared" si="19"/>
        <v>24.5</v>
      </c>
    </row>
    <row r="122" spans="1:11" x14ac:dyDescent="0.45">
      <c r="A122" s="37">
        <f t="shared" si="11"/>
        <v>46065</v>
      </c>
      <c r="B122" s="14">
        <f t="shared" si="16"/>
        <v>106.94999999999997</v>
      </c>
      <c r="C122" s="21">
        <f t="shared" si="12"/>
        <v>230</v>
      </c>
      <c r="D122" s="15">
        <f>+PRECOZ!C104</f>
        <v>0.7</v>
      </c>
      <c r="E122" s="16">
        <f>+PRECOZ!D104</f>
        <v>0.03</v>
      </c>
      <c r="F122" s="38"/>
      <c r="G122" s="38"/>
      <c r="H122" s="38"/>
      <c r="I122" s="14">
        <f t="shared" si="17"/>
        <v>737.95499999999981</v>
      </c>
      <c r="J122" s="14">
        <f t="shared" si="18"/>
        <v>47909.689999999951</v>
      </c>
      <c r="K122" s="14">
        <f t="shared" si="19"/>
        <v>24.5</v>
      </c>
    </row>
    <row r="123" spans="1:11" x14ac:dyDescent="0.45">
      <c r="A123" s="37">
        <f t="shared" si="11"/>
        <v>46066</v>
      </c>
      <c r="B123" s="14">
        <f t="shared" si="16"/>
        <v>107.64999999999998</v>
      </c>
      <c r="C123" s="21">
        <f t="shared" si="12"/>
        <v>230</v>
      </c>
      <c r="D123" s="15">
        <f>+PRECOZ!C105</f>
        <v>0.7</v>
      </c>
      <c r="E123" s="16">
        <f>+PRECOZ!D105</f>
        <v>0.03</v>
      </c>
      <c r="F123" s="38"/>
      <c r="G123" s="38"/>
      <c r="H123" s="38"/>
      <c r="I123" s="14">
        <f t="shared" si="17"/>
        <v>742.78499999999985</v>
      </c>
      <c r="J123" s="14">
        <f t="shared" si="18"/>
        <v>48652.474999999948</v>
      </c>
      <c r="K123" s="14">
        <f t="shared" si="19"/>
        <v>25</v>
      </c>
    </row>
    <row r="124" spans="1:11" x14ac:dyDescent="0.45">
      <c r="A124" s="37">
        <f t="shared" si="11"/>
        <v>46067</v>
      </c>
      <c r="B124" s="14">
        <f t="shared" si="16"/>
        <v>108.34999999999998</v>
      </c>
      <c r="C124" s="21">
        <f t="shared" si="12"/>
        <v>230</v>
      </c>
      <c r="D124" s="15">
        <f>+PRECOZ!C106</f>
        <v>0.7</v>
      </c>
      <c r="E124" s="16">
        <f>+PRECOZ!D106</f>
        <v>0.03</v>
      </c>
      <c r="F124" s="38"/>
      <c r="G124" s="38"/>
      <c r="H124" s="38"/>
      <c r="I124" s="14">
        <f t="shared" si="17"/>
        <v>747.61499999999978</v>
      </c>
      <c r="J124" s="14">
        <f t="shared" si="18"/>
        <v>49400.089999999946</v>
      </c>
      <c r="K124" s="14">
        <f t="shared" si="19"/>
        <v>25</v>
      </c>
    </row>
    <row r="125" spans="1:11" x14ac:dyDescent="0.45">
      <c r="A125" s="37">
        <f t="shared" si="11"/>
        <v>46068</v>
      </c>
      <c r="B125" s="14">
        <f t="shared" si="16"/>
        <v>109.04999999999998</v>
      </c>
      <c r="C125" s="21">
        <f t="shared" si="12"/>
        <v>230</v>
      </c>
      <c r="D125" s="15">
        <f>+PRECOZ!C107</f>
        <v>0.7</v>
      </c>
      <c r="E125" s="16">
        <f>+PRECOZ!D107</f>
        <v>0.03</v>
      </c>
      <c r="F125" s="38"/>
      <c r="G125" s="38"/>
      <c r="H125" s="38"/>
      <c r="I125" s="14">
        <f t="shared" si="17"/>
        <v>752.44499999999982</v>
      </c>
      <c r="J125" s="14">
        <f t="shared" si="18"/>
        <v>50152.534999999945</v>
      </c>
      <c r="K125" s="14">
        <f t="shared" si="19"/>
        <v>25</v>
      </c>
    </row>
    <row r="126" spans="1:11" x14ac:dyDescent="0.45">
      <c r="A126" s="37">
        <f t="shared" si="11"/>
        <v>46069</v>
      </c>
      <c r="B126" s="14">
        <f t="shared" si="16"/>
        <v>109.74999999999999</v>
      </c>
      <c r="C126" s="21">
        <f t="shared" si="12"/>
        <v>230</v>
      </c>
      <c r="D126" s="15">
        <f>+PRECOZ!C108</f>
        <v>0.7</v>
      </c>
      <c r="E126" s="16">
        <f>+PRECOZ!D108</f>
        <v>0.03</v>
      </c>
      <c r="F126" s="38"/>
      <c r="G126" s="38"/>
      <c r="H126" s="38"/>
      <c r="I126" s="14">
        <f t="shared" si="17"/>
        <v>757.27499999999986</v>
      </c>
      <c r="J126" s="14">
        <f t="shared" si="18"/>
        <v>50909.809999999947</v>
      </c>
      <c r="K126" s="14">
        <f t="shared" si="19"/>
        <v>25</v>
      </c>
    </row>
    <row r="127" spans="1:11" x14ac:dyDescent="0.45">
      <c r="A127" s="37">
        <f t="shared" si="11"/>
        <v>46070</v>
      </c>
      <c r="B127" s="14">
        <f t="shared" si="16"/>
        <v>110.44999999999999</v>
      </c>
      <c r="C127" s="21">
        <f t="shared" si="12"/>
        <v>230</v>
      </c>
      <c r="D127" s="15">
        <f>+PRECOZ!C109</f>
        <v>0.7</v>
      </c>
      <c r="E127" s="16">
        <f>+PRECOZ!D109</f>
        <v>0.03</v>
      </c>
      <c r="F127" s="38"/>
      <c r="G127" s="38"/>
      <c r="H127" s="38"/>
      <c r="I127" s="14">
        <f t="shared" si="17"/>
        <v>762.1049999999999</v>
      </c>
      <c r="J127" s="14">
        <f t="shared" si="18"/>
        <v>51671.91499999995</v>
      </c>
      <c r="K127" s="14">
        <f t="shared" si="19"/>
        <v>25.5</v>
      </c>
    </row>
    <row r="128" spans="1:11" x14ac:dyDescent="0.45">
      <c r="A128" s="37">
        <f t="shared" si="11"/>
        <v>46071</v>
      </c>
      <c r="B128" s="14">
        <f t="shared" si="16"/>
        <v>111.14999999999999</v>
      </c>
      <c r="C128" s="21">
        <f t="shared" si="12"/>
        <v>230</v>
      </c>
      <c r="D128" s="15">
        <f>+PRECOZ!C110</f>
        <v>0.7</v>
      </c>
      <c r="E128" s="16">
        <f>+PRECOZ!D110</f>
        <v>0.03</v>
      </c>
      <c r="F128" s="38"/>
      <c r="G128" s="38"/>
      <c r="H128" s="38"/>
      <c r="I128" s="14">
        <f t="shared" si="17"/>
        <v>766.93499999999995</v>
      </c>
      <c r="J128" s="14">
        <f t="shared" si="18"/>
        <v>52438.849999999948</v>
      </c>
      <c r="K128" s="14">
        <f t="shared" si="19"/>
        <v>25.5</v>
      </c>
    </row>
    <row r="129" spans="1:11" x14ac:dyDescent="0.45">
      <c r="A129" s="37">
        <f t="shared" si="11"/>
        <v>46072</v>
      </c>
      <c r="B129" s="14">
        <f t="shared" si="16"/>
        <v>111.85</v>
      </c>
      <c r="C129" s="21">
        <f t="shared" si="12"/>
        <v>230</v>
      </c>
      <c r="D129" s="15">
        <f>+PRECOZ!C111</f>
        <v>0.7</v>
      </c>
      <c r="E129" s="16">
        <f>+PRECOZ!D111</f>
        <v>0.03</v>
      </c>
      <c r="F129" s="38"/>
      <c r="G129" s="38"/>
      <c r="H129" s="38"/>
      <c r="I129" s="14">
        <f t="shared" si="17"/>
        <v>771.76499999999999</v>
      </c>
      <c r="J129" s="14">
        <f t="shared" si="18"/>
        <v>53210.614999999947</v>
      </c>
      <c r="K129" s="14">
        <f t="shared" si="19"/>
        <v>25.5</v>
      </c>
    </row>
    <row r="130" spans="1:11" x14ac:dyDescent="0.45">
      <c r="A130" s="37">
        <f t="shared" si="11"/>
        <v>46073</v>
      </c>
      <c r="B130" s="14">
        <f t="shared" si="16"/>
        <v>112.55</v>
      </c>
      <c r="C130" s="21">
        <f t="shared" si="12"/>
        <v>230</v>
      </c>
      <c r="D130" s="15">
        <f>+PRECOZ!C112</f>
        <v>0.7</v>
      </c>
      <c r="E130" s="16">
        <f>+PRECOZ!D112</f>
        <v>0.03</v>
      </c>
      <c r="F130" s="38"/>
      <c r="G130" s="38"/>
      <c r="H130" s="38"/>
      <c r="I130" s="14">
        <f t="shared" si="17"/>
        <v>776.59499999999991</v>
      </c>
      <c r="J130" s="14">
        <f t="shared" si="18"/>
        <v>53987.209999999948</v>
      </c>
      <c r="K130" s="14">
        <f t="shared" si="19"/>
        <v>26</v>
      </c>
    </row>
    <row r="131" spans="1:11" x14ac:dyDescent="0.45">
      <c r="A131" s="37">
        <f t="shared" si="11"/>
        <v>46074</v>
      </c>
      <c r="B131" s="14">
        <f t="shared" si="16"/>
        <v>113.25</v>
      </c>
      <c r="C131" s="21">
        <f t="shared" si="12"/>
        <v>230</v>
      </c>
      <c r="D131" s="15">
        <f>+PRECOZ!C113</f>
        <v>0.7</v>
      </c>
      <c r="E131" s="16">
        <f>+PRECOZ!D113</f>
        <v>0.03</v>
      </c>
      <c r="F131" s="38"/>
      <c r="G131" s="38"/>
      <c r="H131" s="38"/>
      <c r="I131" s="14">
        <f t="shared" si="17"/>
        <v>781.42499999999995</v>
      </c>
      <c r="J131" s="14">
        <f t="shared" si="18"/>
        <v>54768.634999999951</v>
      </c>
      <c r="K131" s="14">
        <f t="shared" si="19"/>
        <v>26</v>
      </c>
    </row>
    <row r="132" spans="1:11" x14ac:dyDescent="0.45">
      <c r="A132" s="37">
        <f t="shared" si="11"/>
        <v>46075</v>
      </c>
      <c r="B132" s="14">
        <f t="shared" si="16"/>
        <v>113.95</v>
      </c>
      <c r="C132" s="21">
        <f t="shared" si="12"/>
        <v>230</v>
      </c>
      <c r="D132" s="15">
        <f>+PRECOZ!C114</f>
        <v>0.7</v>
      </c>
      <c r="E132" s="16">
        <f>+PRECOZ!D114</f>
        <v>0.03</v>
      </c>
      <c r="F132" s="38"/>
      <c r="G132" s="38"/>
      <c r="H132" s="38"/>
      <c r="I132" s="14">
        <f t="shared" si="17"/>
        <v>786.255</v>
      </c>
      <c r="J132" s="14">
        <f t="shared" si="18"/>
        <v>55554.889999999948</v>
      </c>
      <c r="K132" s="14">
        <f t="shared" si="19"/>
        <v>26</v>
      </c>
    </row>
    <row r="133" spans="1:11" x14ac:dyDescent="0.45">
      <c r="A133" s="37">
        <f t="shared" si="11"/>
        <v>46076</v>
      </c>
      <c r="B133" s="14">
        <f t="shared" si="16"/>
        <v>114.65</v>
      </c>
      <c r="C133" s="21">
        <f t="shared" si="12"/>
        <v>230</v>
      </c>
      <c r="D133" s="15">
        <f>+PRECOZ!C115</f>
        <v>0.7</v>
      </c>
      <c r="E133" s="16">
        <f>+PRECOZ!D115</f>
        <v>0.03</v>
      </c>
      <c r="F133" s="38"/>
      <c r="G133" s="38"/>
      <c r="H133" s="38"/>
      <c r="I133" s="14">
        <f t="shared" si="17"/>
        <v>791.08500000000004</v>
      </c>
      <c r="J133" s="14">
        <f t="shared" si="18"/>
        <v>56345.974999999948</v>
      </c>
      <c r="K133" s="14">
        <f t="shared" si="19"/>
        <v>26.5</v>
      </c>
    </row>
    <row r="134" spans="1:11" x14ac:dyDescent="0.45">
      <c r="A134" s="37">
        <f t="shared" si="11"/>
        <v>46077</v>
      </c>
      <c r="B134" s="14">
        <f t="shared" si="16"/>
        <v>115.35000000000001</v>
      </c>
      <c r="C134" s="21">
        <f t="shared" si="12"/>
        <v>230</v>
      </c>
      <c r="D134" s="15">
        <f>+PRECOZ!C116</f>
        <v>0.7</v>
      </c>
      <c r="E134" s="16">
        <f>+PRECOZ!D116</f>
        <v>0.03</v>
      </c>
      <c r="F134" s="38"/>
      <c r="G134" s="38"/>
      <c r="H134" s="38"/>
      <c r="I134" s="14">
        <f t="shared" si="17"/>
        <v>795.91500000000008</v>
      </c>
      <c r="J134" s="14">
        <f t="shared" si="18"/>
        <v>57141.889999999948</v>
      </c>
      <c r="K134" s="14">
        <f t="shared" si="19"/>
        <v>26.5</v>
      </c>
    </row>
    <row r="135" spans="1:11" x14ac:dyDescent="0.45">
      <c r="A135" s="37">
        <f t="shared" si="11"/>
        <v>46078</v>
      </c>
      <c r="B135" s="14">
        <f t="shared" si="16"/>
        <v>116.05000000000001</v>
      </c>
      <c r="C135" s="21">
        <f t="shared" si="12"/>
        <v>230</v>
      </c>
      <c r="D135" s="15">
        <f>+PRECOZ!C117</f>
        <v>0.7</v>
      </c>
      <c r="E135" s="16">
        <f>+PRECOZ!D117</f>
        <v>0.03</v>
      </c>
      <c r="F135" s="38"/>
      <c r="G135" s="38"/>
      <c r="H135" s="38"/>
      <c r="I135" s="14">
        <f t="shared" si="17"/>
        <v>800.745</v>
      </c>
      <c r="J135" s="14">
        <f t="shared" si="18"/>
        <v>57942.634999999951</v>
      </c>
      <c r="K135" s="14">
        <f t="shared" si="19"/>
        <v>26.5</v>
      </c>
    </row>
    <row r="136" spans="1:11" x14ac:dyDescent="0.45">
      <c r="A136" s="37">
        <f t="shared" si="11"/>
        <v>46079</v>
      </c>
      <c r="B136" s="14">
        <f t="shared" si="16"/>
        <v>116.75000000000001</v>
      </c>
      <c r="C136" s="21">
        <f t="shared" si="12"/>
        <v>230</v>
      </c>
      <c r="D136" s="15">
        <f>+PRECOZ!C118</f>
        <v>0.7</v>
      </c>
      <c r="E136" s="16">
        <f>+PRECOZ!D118</f>
        <v>0.03</v>
      </c>
      <c r="F136" s="38"/>
      <c r="G136" s="38"/>
      <c r="H136" s="38"/>
      <c r="I136" s="14">
        <f t="shared" si="17"/>
        <v>805.57500000000005</v>
      </c>
      <c r="J136" s="14">
        <f t="shared" si="18"/>
        <v>58748.209999999948</v>
      </c>
      <c r="K136" s="14">
        <f t="shared" si="19"/>
        <v>27</v>
      </c>
    </row>
    <row r="137" spans="1:11" x14ac:dyDescent="0.45">
      <c r="A137" s="37">
        <f t="shared" si="11"/>
        <v>46080</v>
      </c>
      <c r="B137" s="14">
        <f t="shared" si="16"/>
        <v>117.45000000000002</v>
      </c>
      <c r="C137" s="21">
        <f t="shared" si="12"/>
        <v>230</v>
      </c>
      <c r="D137" s="15">
        <f>+PRECOZ!C119</f>
        <v>0.7</v>
      </c>
      <c r="E137" s="16">
        <f>+PRECOZ!D119</f>
        <v>0.03</v>
      </c>
      <c r="F137" s="38"/>
      <c r="G137" s="38"/>
      <c r="H137" s="38"/>
      <c r="I137" s="14">
        <f t="shared" si="17"/>
        <v>810.40500000000009</v>
      </c>
      <c r="J137" s="14">
        <f t="shared" si="18"/>
        <v>59558.614999999947</v>
      </c>
      <c r="K137" s="14">
        <f t="shared" si="19"/>
        <v>27</v>
      </c>
    </row>
    <row r="138" spans="1:11" x14ac:dyDescent="0.45">
      <c r="A138" s="37">
        <f t="shared" si="11"/>
        <v>46081</v>
      </c>
      <c r="B138" s="14">
        <f t="shared" si="16"/>
        <v>118.15000000000002</v>
      </c>
      <c r="C138" s="21">
        <f t="shared" si="12"/>
        <v>230</v>
      </c>
      <c r="D138" s="15">
        <f>+PRECOZ!C120</f>
        <v>0.7</v>
      </c>
      <c r="E138" s="16">
        <f>+PRECOZ!D120</f>
        <v>0.03</v>
      </c>
      <c r="F138" s="38"/>
      <c r="G138" s="38"/>
      <c r="H138" s="38"/>
      <c r="I138" s="14">
        <f t="shared" si="17"/>
        <v>815.23500000000013</v>
      </c>
      <c r="J138" s="14">
        <f t="shared" si="18"/>
        <v>60373.849999999948</v>
      </c>
      <c r="K138" s="14">
        <f t="shared" si="19"/>
        <v>27</v>
      </c>
    </row>
    <row r="139" spans="1:11" x14ac:dyDescent="0.45">
      <c r="A139" s="37">
        <f t="shared" ref="A139:A157" si="20">+A138+1</f>
        <v>46082</v>
      </c>
      <c r="B139" s="14">
        <f t="shared" si="16"/>
        <v>118.85000000000002</v>
      </c>
      <c r="C139" s="21">
        <f t="shared" ref="C139:C158" si="21">+C138</f>
        <v>230</v>
      </c>
      <c r="D139" s="15">
        <f>+PRECOZ!C121</f>
        <v>0.7</v>
      </c>
      <c r="E139" s="16">
        <f>+PRECOZ!D121</f>
        <v>0.03</v>
      </c>
      <c r="F139" s="38"/>
      <c r="G139" s="38"/>
      <c r="H139" s="38"/>
      <c r="I139" s="14">
        <f t="shared" si="17"/>
        <v>820.06500000000017</v>
      </c>
      <c r="J139" s="14">
        <f t="shared" si="18"/>
        <v>61193.91499999995</v>
      </c>
      <c r="K139" s="14">
        <f t="shared" si="19"/>
        <v>27.5</v>
      </c>
    </row>
    <row r="140" spans="1:11" x14ac:dyDescent="0.45">
      <c r="A140" s="37">
        <f t="shared" si="20"/>
        <v>46083</v>
      </c>
      <c r="B140" s="14">
        <f t="shared" si="16"/>
        <v>119.55000000000003</v>
      </c>
      <c r="C140" s="21">
        <f t="shared" si="21"/>
        <v>230</v>
      </c>
      <c r="D140" s="15">
        <f>+PRECOZ!C122</f>
        <v>0.7</v>
      </c>
      <c r="E140" s="16">
        <f>+PRECOZ!D122</f>
        <v>0.03</v>
      </c>
      <c r="F140" s="38"/>
      <c r="G140" s="38"/>
      <c r="H140" s="38"/>
      <c r="I140" s="14">
        <f t="shared" si="17"/>
        <v>824.8950000000001</v>
      </c>
      <c r="J140" s="14">
        <f t="shared" si="18"/>
        <v>62018.809999999947</v>
      </c>
      <c r="K140" s="14">
        <f t="shared" si="19"/>
        <v>27.5</v>
      </c>
    </row>
    <row r="141" spans="1:11" x14ac:dyDescent="0.45">
      <c r="A141" s="37">
        <f t="shared" si="20"/>
        <v>46084</v>
      </c>
      <c r="B141" s="14">
        <f t="shared" si="16"/>
        <v>120.25000000000003</v>
      </c>
      <c r="C141" s="21">
        <f t="shared" si="21"/>
        <v>230</v>
      </c>
      <c r="D141" s="15">
        <f>+PRECOZ!C123</f>
        <v>0.7</v>
      </c>
      <c r="E141" s="16">
        <f>+PRECOZ!D123</f>
        <v>0.03</v>
      </c>
      <c r="F141" s="38"/>
      <c r="G141" s="38"/>
      <c r="H141" s="38"/>
      <c r="I141" s="14">
        <f t="shared" si="17"/>
        <v>829.72500000000014</v>
      </c>
      <c r="J141" s="14">
        <f t="shared" si="18"/>
        <v>62848.534999999945</v>
      </c>
      <c r="K141" s="14">
        <f t="shared" si="19"/>
        <v>27.5</v>
      </c>
    </row>
    <row r="142" spans="1:11" x14ac:dyDescent="0.45">
      <c r="A142" s="37">
        <f t="shared" si="20"/>
        <v>46085</v>
      </c>
      <c r="B142" s="14">
        <f t="shared" si="16"/>
        <v>120.95000000000003</v>
      </c>
      <c r="C142" s="21">
        <f t="shared" si="21"/>
        <v>230</v>
      </c>
      <c r="D142" s="15">
        <f>+PRECOZ!C124</f>
        <v>0.7</v>
      </c>
      <c r="E142" s="16">
        <f>+PRECOZ!D124</f>
        <v>0.03</v>
      </c>
      <c r="F142" s="38"/>
      <c r="G142" s="38"/>
      <c r="H142" s="38"/>
      <c r="I142" s="14">
        <f t="shared" si="17"/>
        <v>834.55500000000018</v>
      </c>
      <c r="J142" s="14">
        <f t="shared" si="18"/>
        <v>63683.089999999946</v>
      </c>
      <c r="K142" s="14">
        <f t="shared" si="19"/>
        <v>28</v>
      </c>
    </row>
    <row r="143" spans="1:11" x14ac:dyDescent="0.45">
      <c r="A143" s="37">
        <f t="shared" si="20"/>
        <v>46086</v>
      </c>
      <c r="B143" s="14">
        <f t="shared" si="16"/>
        <v>121.65000000000003</v>
      </c>
      <c r="C143" s="21">
        <f t="shared" si="21"/>
        <v>230</v>
      </c>
      <c r="D143" s="15">
        <f>+PRECOZ!C125</f>
        <v>0.7</v>
      </c>
      <c r="E143" s="16">
        <f>+PRECOZ!D125</f>
        <v>0.03</v>
      </c>
      <c r="F143" s="38"/>
      <c r="G143" s="38"/>
      <c r="H143" s="38"/>
      <c r="I143" s="14">
        <f t="shared" si="17"/>
        <v>839.38500000000022</v>
      </c>
      <c r="J143" s="14">
        <f t="shared" si="18"/>
        <v>64522.474999999948</v>
      </c>
      <c r="K143" s="14">
        <f t="shared" si="19"/>
        <v>28</v>
      </c>
    </row>
    <row r="144" spans="1:11" x14ac:dyDescent="0.45">
      <c r="A144" s="37">
        <f t="shared" si="20"/>
        <v>46087</v>
      </c>
      <c r="B144" s="14">
        <f t="shared" si="16"/>
        <v>122.35000000000004</v>
      </c>
      <c r="C144" s="21">
        <f t="shared" si="21"/>
        <v>230</v>
      </c>
      <c r="D144" s="15">
        <f>+PRECOZ!C126</f>
        <v>0.7</v>
      </c>
      <c r="E144" s="16">
        <f>+PRECOZ!D126</f>
        <v>0.03</v>
      </c>
      <c r="F144" s="38"/>
      <c r="G144" s="38"/>
      <c r="H144" s="38"/>
      <c r="I144" s="14">
        <f t="shared" si="17"/>
        <v>844.21500000000026</v>
      </c>
      <c r="J144" s="14">
        <f t="shared" si="18"/>
        <v>65366.689999999951</v>
      </c>
      <c r="K144" s="14">
        <f t="shared" si="19"/>
        <v>28</v>
      </c>
    </row>
    <row r="145" spans="1:11" x14ac:dyDescent="0.45">
      <c r="A145" s="37">
        <f t="shared" si="20"/>
        <v>46088</v>
      </c>
      <c r="B145" s="14">
        <f t="shared" si="16"/>
        <v>123.05000000000004</v>
      </c>
      <c r="C145" s="21">
        <f t="shared" si="21"/>
        <v>230</v>
      </c>
      <c r="D145" s="15">
        <f>+PRECOZ!C127</f>
        <v>0.7</v>
      </c>
      <c r="E145" s="16">
        <f>+PRECOZ!D127</f>
        <v>0.03</v>
      </c>
      <c r="F145" s="38"/>
      <c r="G145" s="38"/>
      <c r="H145" s="38"/>
      <c r="I145" s="14">
        <f t="shared" si="17"/>
        <v>849.04500000000019</v>
      </c>
      <c r="J145" s="14">
        <f t="shared" si="18"/>
        <v>66215.734999999957</v>
      </c>
      <c r="K145" s="14">
        <f t="shared" si="19"/>
        <v>28.5</v>
      </c>
    </row>
    <row r="146" spans="1:11" x14ac:dyDescent="0.45">
      <c r="A146" s="37">
        <f t="shared" si="20"/>
        <v>46089</v>
      </c>
      <c r="B146" s="14">
        <f t="shared" si="16"/>
        <v>123.75000000000004</v>
      </c>
      <c r="C146" s="21">
        <f t="shared" si="21"/>
        <v>230</v>
      </c>
      <c r="D146" s="15">
        <f>+PRECOZ!C128</f>
        <v>0.7</v>
      </c>
      <c r="E146" s="16">
        <f>+PRECOZ!D128</f>
        <v>0.03</v>
      </c>
      <c r="F146" s="38"/>
      <c r="G146" s="38"/>
      <c r="H146" s="38"/>
      <c r="I146" s="14">
        <f t="shared" si="17"/>
        <v>853.87500000000034</v>
      </c>
      <c r="J146" s="14">
        <f t="shared" si="18"/>
        <v>67069.609999999957</v>
      </c>
      <c r="K146" s="14">
        <f t="shared" si="19"/>
        <v>28.5</v>
      </c>
    </row>
    <row r="147" spans="1:11" x14ac:dyDescent="0.45">
      <c r="A147" s="37">
        <f t="shared" si="20"/>
        <v>46090</v>
      </c>
      <c r="B147" s="14">
        <f t="shared" si="16"/>
        <v>124.45000000000005</v>
      </c>
      <c r="C147" s="21">
        <f t="shared" si="21"/>
        <v>230</v>
      </c>
      <c r="D147" s="15">
        <f>+PRECOZ!C129</f>
        <v>0.7</v>
      </c>
      <c r="E147" s="16">
        <f>+PRECOZ!D129</f>
        <v>0.03</v>
      </c>
      <c r="F147" s="38"/>
      <c r="G147" s="38"/>
      <c r="H147" s="38"/>
      <c r="I147" s="14">
        <f t="shared" si="17"/>
        <v>858.70500000000027</v>
      </c>
      <c r="J147" s="14">
        <f t="shared" si="18"/>
        <v>67928.314999999959</v>
      </c>
      <c r="K147" s="14">
        <f t="shared" si="19"/>
        <v>28.5</v>
      </c>
    </row>
    <row r="148" spans="1:11" x14ac:dyDescent="0.45">
      <c r="A148" s="37">
        <f t="shared" si="20"/>
        <v>46091</v>
      </c>
      <c r="B148" s="14">
        <f t="shared" si="16"/>
        <v>125.15000000000005</v>
      </c>
      <c r="C148" s="21">
        <f t="shared" si="21"/>
        <v>230</v>
      </c>
      <c r="D148" s="15">
        <f>+PRECOZ!C130</f>
        <v>0.7</v>
      </c>
      <c r="E148" s="16">
        <f>+PRECOZ!D130</f>
        <v>0.03</v>
      </c>
      <c r="F148" s="38"/>
      <c r="G148" s="38"/>
      <c r="H148" s="38"/>
      <c r="I148" s="14">
        <f t="shared" si="17"/>
        <v>863.53500000000031</v>
      </c>
      <c r="J148" s="14">
        <f t="shared" si="18"/>
        <v>68791.849999999962</v>
      </c>
      <c r="K148" s="14">
        <f t="shared" si="19"/>
        <v>29</v>
      </c>
    </row>
    <row r="149" spans="1:11" x14ac:dyDescent="0.45">
      <c r="A149" s="37">
        <f t="shared" si="20"/>
        <v>46092</v>
      </c>
      <c r="B149" s="14">
        <f t="shared" si="16"/>
        <v>125.85000000000005</v>
      </c>
      <c r="C149" s="21">
        <f t="shared" si="21"/>
        <v>230</v>
      </c>
      <c r="D149" s="15">
        <f>+PRECOZ!C131</f>
        <v>0.7</v>
      </c>
      <c r="E149" s="16">
        <f>+PRECOZ!D131</f>
        <v>0.03</v>
      </c>
      <c r="F149" s="38"/>
      <c r="G149" s="38"/>
      <c r="H149" s="38"/>
      <c r="I149" s="14">
        <f t="shared" si="17"/>
        <v>868.36500000000035</v>
      </c>
      <c r="J149" s="14">
        <f t="shared" si="18"/>
        <v>69660.214999999967</v>
      </c>
      <c r="K149" s="14">
        <f t="shared" si="19"/>
        <v>29</v>
      </c>
    </row>
    <row r="150" spans="1:11" x14ac:dyDescent="0.45">
      <c r="A150" s="37">
        <f t="shared" si="20"/>
        <v>46093</v>
      </c>
      <c r="B150" s="14">
        <f t="shared" si="16"/>
        <v>126.55000000000005</v>
      </c>
      <c r="C150" s="21">
        <f t="shared" si="21"/>
        <v>230</v>
      </c>
      <c r="D150" s="15">
        <f>+PRECOZ!C132</f>
        <v>0.7</v>
      </c>
      <c r="E150" s="16">
        <f>+PRECOZ!D132</f>
        <v>0.03</v>
      </c>
      <c r="F150" s="38"/>
      <c r="G150" s="38"/>
      <c r="H150" s="38"/>
      <c r="I150" s="14">
        <f t="shared" si="17"/>
        <v>873.19500000000028</v>
      </c>
      <c r="J150" s="14">
        <f t="shared" si="18"/>
        <v>70533.409999999974</v>
      </c>
      <c r="K150" s="14">
        <f t="shared" si="19"/>
        <v>29</v>
      </c>
    </row>
    <row r="151" spans="1:11" x14ac:dyDescent="0.45">
      <c r="A151" s="37">
        <f t="shared" si="20"/>
        <v>46094</v>
      </c>
      <c r="B151" s="14">
        <f t="shared" si="16"/>
        <v>127.25000000000006</v>
      </c>
      <c r="C151" s="21">
        <f t="shared" si="21"/>
        <v>230</v>
      </c>
      <c r="D151" s="15">
        <f>+PRECOZ!C133</f>
        <v>0.7</v>
      </c>
      <c r="E151" s="16">
        <f>+PRECOZ!D133</f>
        <v>0.03</v>
      </c>
      <c r="F151" s="38"/>
      <c r="G151" s="38"/>
      <c r="H151" s="38"/>
      <c r="I151" s="14">
        <f t="shared" si="17"/>
        <v>878.02500000000043</v>
      </c>
      <c r="J151" s="14">
        <f t="shared" si="18"/>
        <v>71411.434999999969</v>
      </c>
      <c r="K151" s="14">
        <f t="shared" si="19"/>
        <v>29.5</v>
      </c>
    </row>
    <row r="152" spans="1:11" x14ac:dyDescent="0.45">
      <c r="A152" s="37">
        <f t="shared" si="20"/>
        <v>46095</v>
      </c>
      <c r="B152" s="14">
        <f t="shared" si="16"/>
        <v>127.95000000000006</v>
      </c>
      <c r="C152" s="21">
        <f t="shared" si="21"/>
        <v>230</v>
      </c>
      <c r="D152" s="15">
        <f>+PRECOZ!C134</f>
        <v>0.7</v>
      </c>
      <c r="E152" s="16">
        <f>+PRECOZ!D134</f>
        <v>0.03</v>
      </c>
      <c r="F152" s="38"/>
      <c r="G152" s="38"/>
      <c r="H152" s="38"/>
      <c r="I152" s="14">
        <f t="shared" si="17"/>
        <v>882.85500000000036</v>
      </c>
      <c r="J152" s="14">
        <f t="shared" si="18"/>
        <v>72294.289999999964</v>
      </c>
      <c r="K152" s="14">
        <f t="shared" si="19"/>
        <v>29.5</v>
      </c>
    </row>
    <row r="153" spans="1:11" x14ac:dyDescent="0.45">
      <c r="A153" s="37">
        <f t="shared" si="20"/>
        <v>46096</v>
      </c>
      <c r="B153" s="14">
        <f t="shared" si="16"/>
        <v>128.65000000000006</v>
      </c>
      <c r="C153" s="21">
        <f t="shared" si="21"/>
        <v>230</v>
      </c>
      <c r="D153" s="15">
        <f>+PRECOZ!C135</f>
        <v>0.7</v>
      </c>
      <c r="E153" s="16">
        <f>+PRECOZ!D135</f>
        <v>0.03</v>
      </c>
      <c r="F153" s="38"/>
      <c r="G153" s="38"/>
      <c r="H153" s="38"/>
      <c r="I153" s="14">
        <f t="shared" si="17"/>
        <v>887.6850000000004</v>
      </c>
      <c r="J153" s="14">
        <f t="shared" si="18"/>
        <v>73181.974999999962</v>
      </c>
      <c r="K153" s="14">
        <f t="shared" si="19"/>
        <v>29.5</v>
      </c>
    </row>
    <row r="154" spans="1:11" x14ac:dyDescent="0.45">
      <c r="A154" s="37">
        <f t="shared" si="20"/>
        <v>46097</v>
      </c>
      <c r="B154" s="14">
        <f t="shared" si="16"/>
        <v>129.35000000000005</v>
      </c>
      <c r="C154" s="21">
        <f t="shared" si="21"/>
        <v>230</v>
      </c>
      <c r="D154" s="15">
        <f>+PRECOZ!C136</f>
        <v>0.7</v>
      </c>
      <c r="E154" s="16">
        <f>+PRECOZ!D136</f>
        <v>0.03</v>
      </c>
      <c r="F154" s="38"/>
      <c r="G154" s="38"/>
      <c r="H154" s="38"/>
      <c r="I154" s="14">
        <f t="shared" si="17"/>
        <v>892.51500000000033</v>
      </c>
      <c r="J154" s="14">
        <f t="shared" si="18"/>
        <v>74074.489999999962</v>
      </c>
      <c r="K154" s="14">
        <f t="shared" si="19"/>
        <v>30</v>
      </c>
    </row>
    <row r="155" spans="1:11" x14ac:dyDescent="0.45">
      <c r="A155" s="37">
        <f t="shared" si="20"/>
        <v>46098</v>
      </c>
      <c r="B155" s="14">
        <f t="shared" si="16"/>
        <v>130.05000000000004</v>
      </c>
      <c r="C155" s="21">
        <f t="shared" si="21"/>
        <v>230</v>
      </c>
      <c r="D155" s="15">
        <f>+PRECOZ!C137</f>
        <v>0.7</v>
      </c>
      <c r="E155" s="16">
        <f>+PRECOZ!D137</f>
        <v>0.03</v>
      </c>
      <c r="F155" s="38"/>
      <c r="G155" s="38"/>
      <c r="H155" s="38"/>
      <c r="I155" s="14">
        <f t="shared" si="17"/>
        <v>897.34500000000014</v>
      </c>
      <c r="J155" s="14">
        <f t="shared" si="18"/>
        <v>74971.834999999963</v>
      </c>
      <c r="K155" s="14">
        <f t="shared" si="19"/>
        <v>30</v>
      </c>
    </row>
    <row r="156" spans="1:11" x14ac:dyDescent="0.45">
      <c r="A156" s="37">
        <f t="shared" si="20"/>
        <v>46099</v>
      </c>
      <c r="B156" s="14">
        <f t="shared" si="16"/>
        <v>130.75000000000003</v>
      </c>
      <c r="C156" s="21">
        <f t="shared" si="21"/>
        <v>230</v>
      </c>
      <c r="D156" s="15">
        <f>+PRECOZ!C138</f>
        <v>0.7</v>
      </c>
      <c r="E156" s="16">
        <f>+PRECOZ!D138</f>
        <v>0.03</v>
      </c>
      <c r="F156" s="38"/>
      <c r="G156" s="38"/>
      <c r="H156" s="38"/>
      <c r="I156" s="14">
        <f t="shared" si="17"/>
        <v>902.17500000000018</v>
      </c>
      <c r="J156" s="14">
        <f t="shared" si="18"/>
        <v>75874.009999999966</v>
      </c>
      <c r="K156" s="14">
        <f t="shared" si="19"/>
        <v>30</v>
      </c>
    </row>
    <row r="157" spans="1:11" x14ac:dyDescent="0.45">
      <c r="A157" s="37">
        <f t="shared" si="20"/>
        <v>46100</v>
      </c>
      <c r="B157" s="14">
        <f t="shared" si="16"/>
        <v>131.45000000000002</v>
      </c>
      <c r="C157" s="21">
        <f t="shared" si="21"/>
        <v>230</v>
      </c>
      <c r="D157" s="15">
        <f>+PRECOZ!C139</f>
        <v>0.7</v>
      </c>
      <c r="E157" s="16">
        <f>+PRECOZ!D139</f>
        <v>0.03</v>
      </c>
      <c r="F157" s="38"/>
      <c r="G157" s="38"/>
      <c r="H157" s="38"/>
      <c r="I157" s="14">
        <f t="shared" si="17"/>
        <v>907.00500000000011</v>
      </c>
      <c r="J157" s="14">
        <f t="shared" si="18"/>
        <v>76781.01499999997</v>
      </c>
      <c r="K157" s="14">
        <f t="shared" si="19"/>
        <v>30</v>
      </c>
    </row>
    <row r="158" spans="1:11" x14ac:dyDescent="0.45">
      <c r="A158" s="37">
        <f t="shared" ref="A158" si="22">+A157+1</f>
        <v>46101</v>
      </c>
      <c r="B158" s="14">
        <f t="shared" ref="B158" si="23">+B157+D157</f>
        <v>132.15</v>
      </c>
      <c r="C158" s="21">
        <f t="shared" si="21"/>
        <v>230</v>
      </c>
      <c r="D158" s="15">
        <f>+PRECOZ!C140</f>
        <v>0.7</v>
      </c>
      <c r="E158" s="16">
        <f>+PRECOZ!D140</f>
        <v>0.03</v>
      </c>
      <c r="F158" s="38"/>
      <c r="G158" s="38"/>
      <c r="H158" s="38"/>
      <c r="I158" s="14">
        <f t="shared" ref="I158" si="24">+B158*E158*C158</f>
        <v>911.83500000000004</v>
      </c>
      <c r="J158" s="14">
        <f t="shared" ref="J158" si="25">+I158+J157</f>
        <v>77692.849999999977</v>
      </c>
      <c r="K158" s="14">
        <f t="shared" ref="K158" si="26">+MROUND(I158/30,0.5)</f>
        <v>30.5</v>
      </c>
    </row>
    <row r="159" spans="1:11" x14ac:dyDescent="0.45">
      <c r="B159" s="43"/>
    </row>
    <row r="161" spans="2:11" s="1" customFormat="1" x14ac:dyDescent="0.45">
      <c r="C161" s="24"/>
      <c r="D161" s="65" t="s">
        <v>46</v>
      </c>
      <c r="E161" s="65"/>
      <c r="F161" s="6"/>
      <c r="G161" s="6" t="s">
        <v>32</v>
      </c>
      <c r="H161" s="6" t="s">
        <v>47</v>
      </c>
      <c r="I161" s="29"/>
      <c r="J161" s="29" t="s">
        <v>32</v>
      </c>
      <c r="K161" s="29" t="s">
        <v>47</v>
      </c>
    </row>
    <row r="162" spans="2:11" x14ac:dyDescent="0.45">
      <c r="D162" s="65"/>
      <c r="E162" s="65"/>
      <c r="F162" s="6" t="s">
        <v>38</v>
      </c>
      <c r="G162" s="25">
        <f>+G23</f>
        <v>0</v>
      </c>
      <c r="H162" s="25">
        <f>SUM(H9:H158)</f>
        <v>0</v>
      </c>
      <c r="I162" s="29" t="s">
        <v>38</v>
      </c>
      <c r="J162" s="27">
        <f>+J158</f>
        <v>77692.849999999977</v>
      </c>
      <c r="K162" s="27">
        <f>SUM(K24:K158)</f>
        <v>2590</v>
      </c>
    </row>
    <row r="163" spans="2:11" ht="21" x14ac:dyDescent="0.65">
      <c r="D163" s="31" t="s">
        <v>31</v>
      </c>
      <c r="E163" s="30">
        <f>+C158</f>
        <v>230</v>
      </c>
      <c r="F163" s="26" t="s">
        <v>35</v>
      </c>
      <c r="G163" s="26">
        <f>+G162/1000</f>
        <v>0</v>
      </c>
      <c r="H163" s="26">
        <f>ROUNDUP(H162,0)</f>
        <v>0</v>
      </c>
      <c r="I163" s="28" t="s">
        <v>35</v>
      </c>
      <c r="J163" s="28">
        <f>+J162/1000</f>
        <v>77.692849999999979</v>
      </c>
      <c r="K163" s="28">
        <f>ROUNDUP(K162,0)</f>
        <v>2590</v>
      </c>
    </row>
    <row r="165" spans="2:11" ht="16.899999999999999" x14ac:dyDescent="0.5">
      <c r="D165" s="63" t="s">
        <v>48</v>
      </c>
      <c r="E165" s="63"/>
      <c r="I165" s="33">
        <f>+PRECOZ!I146</f>
        <v>509360</v>
      </c>
      <c r="J165" s="33">
        <f>+I165*J163</f>
        <v>39573630.07599999</v>
      </c>
    </row>
    <row r="167" spans="2:11" x14ac:dyDescent="0.45">
      <c r="B167" s="40"/>
    </row>
  </sheetData>
  <mergeCells count="18">
    <mergeCell ref="A4:K4"/>
    <mergeCell ref="F6:F8"/>
    <mergeCell ref="C6:C8"/>
    <mergeCell ref="D165:E165"/>
    <mergeCell ref="A2:K3"/>
    <mergeCell ref="D161:E162"/>
    <mergeCell ref="H6:H8"/>
    <mergeCell ref="G6:G8"/>
    <mergeCell ref="I6:I8"/>
    <mergeCell ref="J6:J8"/>
    <mergeCell ref="K6:K8"/>
    <mergeCell ref="A5:E5"/>
    <mergeCell ref="F5:H5"/>
    <mergeCell ref="I5:K5"/>
    <mergeCell ref="A6:A8"/>
    <mergeCell ref="B6:B8"/>
    <mergeCell ref="D6:D8"/>
    <mergeCell ref="E6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B6" sqref="B6"/>
    </sheetView>
  </sheetViews>
  <sheetFormatPr baseColWidth="10" defaultColWidth="9.06640625" defaultRowHeight="14.25" x14ac:dyDescent="0.45"/>
  <cols>
    <col min="1" max="1" width="34.19921875" customWidth="1"/>
    <col min="2" max="3" width="25" customWidth="1"/>
    <col min="4" max="4" width="38" customWidth="1"/>
  </cols>
  <sheetData>
    <row r="1" spans="1:4" x14ac:dyDescent="0.45">
      <c r="A1" s="72" t="s">
        <v>49</v>
      </c>
      <c r="B1" s="72"/>
      <c r="C1" s="72"/>
      <c r="D1" s="72"/>
    </row>
    <row r="3" spans="1:4" x14ac:dyDescent="0.45">
      <c r="A3" s="46" t="s">
        <v>50</v>
      </c>
      <c r="B3" s="46" t="s">
        <v>51</v>
      </c>
      <c r="C3" s="46" t="s">
        <v>52</v>
      </c>
      <c r="D3" s="46" t="s">
        <v>53</v>
      </c>
    </row>
    <row r="4" spans="1:4" x14ac:dyDescent="0.45">
      <c r="A4" t="s">
        <v>54</v>
      </c>
      <c r="B4" s="47">
        <v>46285</v>
      </c>
      <c r="C4" t="s">
        <v>55</v>
      </c>
      <c r="D4" t="s">
        <v>56</v>
      </c>
    </row>
    <row r="5" spans="1:4" x14ac:dyDescent="0.45">
      <c r="A5" t="s">
        <v>57</v>
      </c>
      <c r="B5" s="48">
        <v>33</v>
      </c>
      <c r="C5" t="s">
        <v>58</v>
      </c>
      <c r="D5" t="s">
        <v>123</v>
      </c>
    </row>
    <row r="6" spans="1:4" x14ac:dyDescent="0.45">
      <c r="A6" t="s">
        <v>59</v>
      </c>
      <c r="B6" s="48">
        <v>55</v>
      </c>
      <c r="C6" t="s">
        <v>60</v>
      </c>
      <c r="D6" t="s">
        <v>122</v>
      </c>
    </row>
    <row r="7" spans="1:4" x14ac:dyDescent="0.45">
      <c r="A7" t="s">
        <v>124</v>
      </c>
      <c r="B7" s="49">
        <v>833860</v>
      </c>
      <c r="C7" t="s">
        <v>61</v>
      </c>
      <c r="D7" s="76" t="s">
        <v>128</v>
      </c>
    </row>
    <row r="8" spans="1:4" x14ac:dyDescent="0.45">
      <c r="A8" t="s">
        <v>125</v>
      </c>
      <c r="B8" s="95">
        <f>B7/1000</f>
        <v>833.86</v>
      </c>
      <c r="C8" t="s">
        <v>62</v>
      </c>
    </row>
    <row r="9" spans="1:4" x14ac:dyDescent="0.45">
      <c r="A9" t="s">
        <v>126</v>
      </c>
      <c r="B9" s="49">
        <v>509360</v>
      </c>
      <c r="C9" t="s">
        <v>61</v>
      </c>
      <c r="D9" s="76" t="s">
        <v>128</v>
      </c>
    </row>
    <row r="10" spans="1:4" x14ac:dyDescent="0.45">
      <c r="A10" t="s">
        <v>127</v>
      </c>
      <c r="B10" s="95">
        <f>B9/1000</f>
        <v>509.36</v>
      </c>
      <c r="C10" t="s">
        <v>62</v>
      </c>
    </row>
    <row r="11" spans="1:4" x14ac:dyDescent="0.45">
      <c r="A11" t="s">
        <v>129</v>
      </c>
      <c r="B11" s="48">
        <v>25</v>
      </c>
      <c r="C11" t="s">
        <v>63</v>
      </c>
      <c r="D11" t="s">
        <v>132</v>
      </c>
    </row>
    <row r="12" spans="1:4" x14ac:dyDescent="0.45">
      <c r="A12" t="s">
        <v>130</v>
      </c>
      <c r="B12" s="48">
        <v>30</v>
      </c>
      <c r="C12" t="s">
        <v>63</v>
      </c>
      <c r="D12" t="s">
        <v>132</v>
      </c>
    </row>
    <row r="13" spans="1:4" x14ac:dyDescent="0.45">
      <c r="A13" t="s">
        <v>134</v>
      </c>
      <c r="B13" s="75">
        <v>0.02</v>
      </c>
      <c r="C13" t="s">
        <v>64</v>
      </c>
    </row>
    <row r="14" spans="1:4" x14ac:dyDescent="0.45">
      <c r="A14" t="s">
        <v>135</v>
      </c>
      <c r="B14" s="75">
        <v>3.5000000000000003E-2</v>
      </c>
      <c r="C14" t="s">
        <v>64</v>
      </c>
    </row>
    <row r="15" spans="1:4" x14ac:dyDescent="0.45">
      <c r="A15" t="s">
        <v>136</v>
      </c>
      <c r="B15" s="74">
        <v>3.2000000000000001E-2</v>
      </c>
      <c r="C15" t="s">
        <v>64</v>
      </c>
    </row>
    <row r="16" spans="1:4" x14ac:dyDescent="0.45">
      <c r="A16" t="s">
        <v>137</v>
      </c>
      <c r="B16" s="74">
        <v>0.03</v>
      </c>
      <c r="C16" t="s">
        <v>64</v>
      </c>
    </row>
    <row r="17" spans="1:4" x14ac:dyDescent="0.45">
      <c r="A17" t="s">
        <v>138</v>
      </c>
      <c r="B17" s="74">
        <v>2.8000000000000001E-2</v>
      </c>
      <c r="C17" t="s">
        <v>64</v>
      </c>
    </row>
    <row r="18" spans="1:4" x14ac:dyDescent="0.45">
      <c r="A18" t="s">
        <v>139</v>
      </c>
      <c r="B18" s="74">
        <v>2.5000000000000001E-2</v>
      </c>
      <c r="C18" t="s">
        <v>64</v>
      </c>
    </row>
    <row r="19" spans="1:4" x14ac:dyDescent="0.45">
      <c r="A19" t="s">
        <v>65</v>
      </c>
      <c r="B19" s="49">
        <v>7000</v>
      </c>
      <c r="C19" t="s">
        <v>66</v>
      </c>
      <c r="D19" s="76" t="s">
        <v>131</v>
      </c>
    </row>
    <row r="20" spans="1:4" x14ac:dyDescent="0.45">
      <c r="A20" t="s">
        <v>67</v>
      </c>
      <c r="B20" s="49">
        <v>0</v>
      </c>
      <c r="C20" t="s">
        <v>62</v>
      </c>
    </row>
    <row r="21" spans="1:4" x14ac:dyDescent="0.45">
      <c r="A21" t="s">
        <v>68</v>
      </c>
      <c r="B21" s="49">
        <v>0</v>
      </c>
      <c r="C21" t="s">
        <v>69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53"/>
  <sheetViews>
    <sheetView topLeftCell="B1" workbookViewId="0">
      <selection activeCell="D27" sqref="D27"/>
    </sheetView>
  </sheetViews>
  <sheetFormatPr baseColWidth="10" defaultColWidth="9.06640625" defaultRowHeight="14.25" x14ac:dyDescent="0.45"/>
  <cols>
    <col min="1" max="1" width="7" customWidth="1"/>
    <col min="2" max="2" width="12" customWidth="1"/>
    <col min="3" max="3" width="18" customWidth="1"/>
    <col min="4" max="4" width="14" style="1" customWidth="1"/>
    <col min="5" max="5" width="11" style="1" customWidth="1"/>
    <col min="6" max="6" width="12" style="1" customWidth="1"/>
    <col min="7" max="8" width="16" style="1" customWidth="1"/>
    <col min="9" max="9" width="15" style="1" customWidth="1"/>
    <col min="10" max="10" width="13" customWidth="1"/>
    <col min="11" max="11" width="15" customWidth="1"/>
    <col min="12" max="12" width="16" customWidth="1"/>
    <col min="13" max="14" width="16" style="1" customWidth="1"/>
    <col min="15" max="15" width="13" style="1" customWidth="1"/>
    <col min="16" max="16" width="24" customWidth="1"/>
  </cols>
  <sheetData>
    <row r="1" spans="1:16" x14ac:dyDescent="0.45">
      <c r="A1" s="72" t="s">
        <v>70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</row>
    <row r="3" spans="1:16" ht="28.5" x14ac:dyDescent="0.45">
      <c r="A3" s="46" t="s">
        <v>71</v>
      </c>
      <c r="B3" s="46" t="s">
        <v>72</v>
      </c>
      <c r="C3" s="46" t="s">
        <v>73</v>
      </c>
      <c r="D3" s="46" t="s">
        <v>74</v>
      </c>
      <c r="E3" s="46" t="s">
        <v>75</v>
      </c>
      <c r="F3" s="46" t="s">
        <v>76</v>
      </c>
      <c r="G3" s="46" t="s">
        <v>77</v>
      </c>
      <c r="H3" s="46" t="s">
        <v>78</v>
      </c>
      <c r="I3" s="46" t="s">
        <v>79</v>
      </c>
      <c r="J3" s="46" t="s">
        <v>80</v>
      </c>
      <c r="K3" s="46" t="s">
        <v>81</v>
      </c>
      <c r="L3" s="46" t="s">
        <v>82</v>
      </c>
      <c r="M3" s="46" t="s">
        <v>83</v>
      </c>
      <c r="N3" s="46" t="s">
        <v>133</v>
      </c>
      <c r="O3" s="46" t="s">
        <v>84</v>
      </c>
      <c r="P3" s="46" t="s">
        <v>53</v>
      </c>
    </row>
    <row r="4" spans="1:16" x14ac:dyDescent="0.45">
      <c r="A4">
        <v>1</v>
      </c>
      <c r="B4" s="50">
        <f>'VARIABLES MODELO'!$B$4+A4-1</f>
        <v>46285</v>
      </c>
      <c r="C4" t="str">
        <f t="shared" ref="C4:C35" si="0">IF(A4&lt;=15,"Hiper-Precoz 23%","Precoz 19%")</f>
        <v>Hiper-Precoz 23%</v>
      </c>
      <c r="D4" s="3">
        <f>+'VARIABLES MODELO'!B6</f>
        <v>55</v>
      </c>
      <c r="E4" s="3">
        <f>HIPER!C6</f>
        <v>-0.1</v>
      </c>
      <c r="F4" s="77">
        <f>IF(A4&lt;=5,'VARIABLES MODELO'!$B$13,IF(A4&lt;=15,'VARIABLES MODELO'!$B$14,IF(A4&lt;=50,'VARIABLES MODELO'!$B$15,IF(A4&lt;=80,'VARIABLES MODELO'!$B$16,IF(A4&lt;=120,'VARIABLES MODELO'!$B$17,'VARIABLES MODELO'!$B$18)))))</f>
        <v>0.02</v>
      </c>
      <c r="G4" s="5">
        <f t="shared" ref="G4:G35" si="1">D4*F4</f>
        <v>1.1000000000000001</v>
      </c>
      <c r="H4" s="78"/>
      <c r="I4" s="5">
        <f>IF(H4="",G4,H4)</f>
        <v>1.1000000000000001</v>
      </c>
      <c r="J4" s="51">
        <f>IF(A4&lt;=15,'VARIABLES MODELO'!$B$8,'VARIABLES MODELO'!$B$10)</f>
        <v>833.86</v>
      </c>
      <c r="K4" s="51">
        <f>I4*J4</f>
        <v>917.24600000000009</v>
      </c>
      <c r="L4" s="51">
        <f>SUM($K$4:K4)</f>
        <v>917.24600000000009</v>
      </c>
      <c r="M4" s="3">
        <f>MROUND(I4*'VARIABLES MODELO'!$B$5,25)</f>
        <v>25</v>
      </c>
      <c r="N4" s="3">
        <f>IF(A4&lt;=15,MROUND(M4/'VARIABLES MODELO'!$B$11,0.5),MROUND(M4/'VARIABLES MODELO'!$B$12,0.5))</f>
        <v>1</v>
      </c>
      <c r="O4" s="3">
        <f>IF(A4&lt;=15,SUM($M$4:M4)/'VARIABLES MODELO'!$B$11,SUM($M4:M$19)/'VARIABLES MODELO'!$B$12)</f>
        <v>1</v>
      </c>
    </row>
    <row r="5" spans="1:16" x14ac:dyDescent="0.45">
      <c r="A5">
        <v>2</v>
      </c>
      <c r="B5" s="50">
        <f>'VARIABLES MODELO'!$B$4+A5-1</f>
        <v>46286</v>
      </c>
      <c r="C5" t="str">
        <f t="shared" si="0"/>
        <v>Hiper-Precoz 23%</v>
      </c>
      <c r="D5" s="3">
        <f>+D4+E4</f>
        <v>54.9</v>
      </c>
      <c r="E5" s="3">
        <f>HIPER!C7</f>
        <v>-0.1</v>
      </c>
      <c r="F5" s="77">
        <f>IF(A5&lt;=5,'VARIABLES MODELO'!$B$13,IF(A5&lt;=15,'VARIABLES MODELO'!$B$14,IF(A5&lt;=50,'VARIABLES MODELO'!$B$15,IF(A5&lt;=80,'VARIABLES MODELO'!$B$16,IF(A5&lt;=120,'VARIABLES MODELO'!$B$17,'VARIABLES MODELO'!$B$18)))))</f>
        <v>0.02</v>
      </c>
      <c r="G5" s="5">
        <f t="shared" si="1"/>
        <v>1.0980000000000001</v>
      </c>
      <c r="H5" s="78"/>
      <c r="I5" s="5">
        <f t="shared" ref="I4:I35" si="2">IF(H5="",G5,H5)</f>
        <v>1.0980000000000001</v>
      </c>
      <c r="J5" s="51">
        <f>IF(A5&lt;=15,'VARIABLES MODELO'!$B$8,'VARIABLES MODELO'!$B$10)</f>
        <v>833.86</v>
      </c>
      <c r="K5" s="51">
        <f t="shared" ref="K5:K35" si="3">I5*J5</f>
        <v>915.57828000000006</v>
      </c>
      <c r="L5" s="51">
        <f>SUM($K$4:K5)</f>
        <v>1832.8242800000003</v>
      </c>
      <c r="M5" s="3">
        <f>MROUND(I5*'VARIABLES MODELO'!$B$5,25)</f>
        <v>25</v>
      </c>
      <c r="N5" s="3">
        <f>IF(A5&lt;=15,MROUND(M5/'VARIABLES MODELO'!$B$11,0.5),MROUND(M5/'VARIABLES MODELO'!$B$12,0.5))</f>
        <v>1</v>
      </c>
      <c r="O5" s="3">
        <f>IF(A5&lt;=15,SUM($M$4:M5)/'VARIABLES MODELO'!$B$11,SUM($M5:M$19)/'VARIABLES MODELO'!$B$12)</f>
        <v>2</v>
      </c>
    </row>
    <row r="6" spans="1:16" x14ac:dyDescent="0.45">
      <c r="A6">
        <v>3</v>
      </c>
      <c r="B6" s="50">
        <f>'VARIABLES MODELO'!$B$4+A6-1</f>
        <v>46287</v>
      </c>
      <c r="C6" t="str">
        <f t="shared" si="0"/>
        <v>Hiper-Precoz 23%</v>
      </c>
      <c r="D6" s="3">
        <f t="shared" ref="D6:D17" si="4">+D5+E5</f>
        <v>54.8</v>
      </c>
      <c r="E6" s="3">
        <f>HIPER!C8</f>
        <v>-0.1</v>
      </c>
      <c r="F6" s="77">
        <f>IF(A6&lt;=5,'VARIABLES MODELO'!$B$13,IF(A6&lt;=15,'VARIABLES MODELO'!$B$14,IF(A6&lt;=50,'VARIABLES MODELO'!$B$15,IF(A6&lt;=80,'VARIABLES MODELO'!$B$16,IF(A6&lt;=120,'VARIABLES MODELO'!$B$17,'VARIABLES MODELO'!$B$18)))))</f>
        <v>0.02</v>
      </c>
      <c r="G6" s="5">
        <f t="shared" si="1"/>
        <v>1.0959999999999999</v>
      </c>
      <c r="H6" s="78"/>
      <c r="I6" s="5">
        <f t="shared" si="2"/>
        <v>1.0959999999999999</v>
      </c>
      <c r="J6" s="51">
        <f>IF(A6&lt;=15,'VARIABLES MODELO'!$B$8,'VARIABLES MODELO'!$B$10)</f>
        <v>833.86</v>
      </c>
      <c r="K6" s="51">
        <f t="shared" si="3"/>
        <v>913.91055999999992</v>
      </c>
      <c r="L6" s="51">
        <f>SUM($K$4:K6)</f>
        <v>2746.7348400000001</v>
      </c>
      <c r="M6" s="3">
        <f>MROUND(I6*'VARIABLES MODELO'!$B$5,25)</f>
        <v>25</v>
      </c>
      <c r="N6" s="3">
        <f>IF(A6&lt;=15,MROUND(M6/'VARIABLES MODELO'!$B$11,0.5),MROUND(M6/'VARIABLES MODELO'!$B$12,0.5))</f>
        <v>1</v>
      </c>
      <c r="O6" s="3">
        <f>IF(A6&lt;=15,SUM($M$4:M6)/'VARIABLES MODELO'!$B$11,SUM($M6:M$19)/'VARIABLES MODELO'!$B$12)</f>
        <v>3</v>
      </c>
    </row>
    <row r="7" spans="1:16" x14ac:dyDescent="0.45">
      <c r="A7">
        <v>4</v>
      </c>
      <c r="B7" s="50">
        <f>'VARIABLES MODELO'!$B$4+A7-1</f>
        <v>46288</v>
      </c>
      <c r="C7" t="str">
        <f t="shared" si="0"/>
        <v>Hiper-Precoz 23%</v>
      </c>
      <c r="D7" s="3">
        <f t="shared" si="4"/>
        <v>54.699999999999996</v>
      </c>
      <c r="E7" s="3">
        <f>HIPER!C9</f>
        <v>-0.1</v>
      </c>
      <c r="F7" s="77">
        <f>IF(A7&lt;=5,'VARIABLES MODELO'!$B$13,IF(A7&lt;=15,'VARIABLES MODELO'!$B$14,IF(A7&lt;=50,'VARIABLES MODELO'!$B$15,IF(A7&lt;=80,'VARIABLES MODELO'!$B$16,IF(A7&lt;=120,'VARIABLES MODELO'!$B$17,'VARIABLES MODELO'!$B$18)))))</f>
        <v>0.02</v>
      </c>
      <c r="G7" s="5">
        <f t="shared" si="1"/>
        <v>1.0939999999999999</v>
      </c>
      <c r="H7" s="78"/>
      <c r="I7" s="5">
        <f t="shared" si="2"/>
        <v>1.0939999999999999</v>
      </c>
      <c r="J7" s="51">
        <f>IF(A7&lt;=15,'VARIABLES MODELO'!$B$8,'VARIABLES MODELO'!$B$10)</f>
        <v>833.86</v>
      </c>
      <c r="K7" s="51">
        <f t="shared" si="3"/>
        <v>912.24283999999989</v>
      </c>
      <c r="L7" s="51">
        <f>SUM($K$4:K7)</f>
        <v>3658.97768</v>
      </c>
      <c r="M7" s="3">
        <f>MROUND(I7*'VARIABLES MODELO'!$B$5,25)</f>
        <v>25</v>
      </c>
      <c r="N7" s="3">
        <f>IF(A7&lt;=15,MROUND(M7/'VARIABLES MODELO'!$B$11,0.5),MROUND(M7/'VARIABLES MODELO'!$B$12,0.5))</f>
        <v>1</v>
      </c>
      <c r="O7" s="3">
        <f>IF(A7&lt;=15,SUM($M$4:M7)/'VARIABLES MODELO'!$B$11,SUM($M7:M$19)/'VARIABLES MODELO'!$B$12)</f>
        <v>4</v>
      </c>
    </row>
    <row r="8" spans="1:16" x14ac:dyDescent="0.45">
      <c r="A8">
        <v>5</v>
      </c>
      <c r="B8" s="50">
        <f>'VARIABLES MODELO'!$B$4+A8-1</f>
        <v>46289</v>
      </c>
      <c r="C8" t="str">
        <f t="shared" si="0"/>
        <v>Hiper-Precoz 23%</v>
      </c>
      <c r="D8" s="3">
        <f t="shared" si="4"/>
        <v>54.599999999999994</v>
      </c>
      <c r="E8" s="3">
        <f>HIPER!C10</f>
        <v>-0.1</v>
      </c>
      <c r="F8" s="77">
        <f>IF(A8&lt;=5,'VARIABLES MODELO'!$B$13,IF(A8&lt;=15,'VARIABLES MODELO'!$B$14,IF(A8&lt;=50,'VARIABLES MODELO'!$B$15,IF(A8&lt;=80,'VARIABLES MODELO'!$B$16,IF(A8&lt;=120,'VARIABLES MODELO'!$B$17,'VARIABLES MODELO'!$B$18)))))</f>
        <v>0.02</v>
      </c>
      <c r="G8" s="5">
        <f t="shared" si="1"/>
        <v>1.0919999999999999</v>
      </c>
      <c r="H8" s="78"/>
      <c r="I8" s="5">
        <f t="shared" si="2"/>
        <v>1.0919999999999999</v>
      </c>
      <c r="J8" s="51">
        <f>IF(A8&lt;=15,'VARIABLES MODELO'!$B$8,'VARIABLES MODELO'!$B$10)</f>
        <v>833.86</v>
      </c>
      <c r="K8" s="51">
        <f t="shared" si="3"/>
        <v>910.57511999999986</v>
      </c>
      <c r="L8" s="51">
        <f>SUM($K$4:K8)</f>
        <v>4569.5527999999995</v>
      </c>
      <c r="M8" s="3">
        <f>MROUND(I8*'VARIABLES MODELO'!$B$5,25)</f>
        <v>25</v>
      </c>
      <c r="N8" s="3">
        <f>IF(A8&lt;=15,MROUND(M8/'VARIABLES MODELO'!$B$11,0.5),MROUND(M8/'VARIABLES MODELO'!$B$12,0.5))</f>
        <v>1</v>
      </c>
      <c r="O8" s="3">
        <f>IF(A8&lt;=15,SUM($M$4:M8)/'VARIABLES MODELO'!$B$11,SUM($M8:M$19)/'VARIABLES MODELO'!$B$12)</f>
        <v>5</v>
      </c>
    </row>
    <row r="9" spans="1:16" x14ac:dyDescent="0.45">
      <c r="A9">
        <v>6</v>
      </c>
      <c r="B9" s="50">
        <f>'VARIABLES MODELO'!$B$4+A9-1</f>
        <v>46290</v>
      </c>
      <c r="C9" t="str">
        <f t="shared" si="0"/>
        <v>Hiper-Precoz 23%</v>
      </c>
      <c r="D9" s="3">
        <f t="shared" si="4"/>
        <v>54.499999999999993</v>
      </c>
      <c r="E9" s="3">
        <f>HIPER!C11</f>
        <v>-0.1</v>
      </c>
      <c r="F9" s="77">
        <f>IF(A9&lt;=5,'VARIABLES MODELO'!$B$13,IF(A9&lt;=15,'VARIABLES MODELO'!$B$14,IF(A9&lt;=50,'VARIABLES MODELO'!$B$15,IF(A9&lt;=80,'VARIABLES MODELO'!$B$16,IF(A9&lt;=120,'VARIABLES MODELO'!$B$17,'VARIABLES MODELO'!$B$18)))))</f>
        <v>3.5000000000000003E-2</v>
      </c>
      <c r="G9" s="5">
        <f t="shared" si="1"/>
        <v>1.9075</v>
      </c>
      <c r="H9" s="78"/>
      <c r="I9" s="5">
        <f t="shared" si="2"/>
        <v>1.9075</v>
      </c>
      <c r="J9" s="51">
        <f>IF(A9&lt;=15,'VARIABLES MODELO'!$B$8,'VARIABLES MODELO'!$B$10)</f>
        <v>833.86</v>
      </c>
      <c r="K9" s="51">
        <f t="shared" si="3"/>
        <v>1590.5879500000001</v>
      </c>
      <c r="L9" s="51">
        <f>SUM($K$4:K9)</f>
        <v>6160.1407499999996</v>
      </c>
      <c r="M9" s="3">
        <f>MROUND(I9*'VARIABLES MODELO'!$B$5,25)</f>
        <v>75</v>
      </c>
      <c r="N9" s="3">
        <f>IF(A9&lt;=15,MROUND(M9/'VARIABLES MODELO'!$B$11,0.5),MROUND(M9/'VARIABLES MODELO'!$B$12,0.5))</f>
        <v>3</v>
      </c>
      <c r="O9" s="3">
        <f>IF(A9&lt;=15,SUM($M$4:M9)/'VARIABLES MODELO'!$B$11,SUM($M9:M$19)/'VARIABLES MODELO'!$B$12)</f>
        <v>8</v>
      </c>
    </row>
    <row r="10" spans="1:16" x14ac:dyDescent="0.45">
      <c r="A10">
        <v>7</v>
      </c>
      <c r="B10" s="50">
        <f>'VARIABLES MODELO'!$B$4+A10-1</f>
        <v>46291</v>
      </c>
      <c r="C10" t="str">
        <f t="shared" si="0"/>
        <v>Hiper-Precoz 23%</v>
      </c>
      <c r="D10" s="3">
        <f t="shared" si="4"/>
        <v>54.399999999999991</v>
      </c>
      <c r="E10" s="3">
        <f>HIPER!C12</f>
        <v>-0.1</v>
      </c>
      <c r="F10" s="77">
        <f>IF(A10&lt;=5,'VARIABLES MODELO'!$B$13,IF(A10&lt;=15,'VARIABLES MODELO'!$B$14,IF(A10&lt;=50,'VARIABLES MODELO'!$B$15,IF(A10&lt;=80,'VARIABLES MODELO'!$B$16,IF(A10&lt;=120,'VARIABLES MODELO'!$B$17,'VARIABLES MODELO'!$B$18)))))</f>
        <v>3.5000000000000003E-2</v>
      </c>
      <c r="G10" s="5">
        <f t="shared" si="1"/>
        <v>1.9039999999999999</v>
      </c>
      <c r="H10" s="78"/>
      <c r="I10" s="5">
        <f t="shared" si="2"/>
        <v>1.9039999999999999</v>
      </c>
      <c r="J10" s="51">
        <f>IF(A10&lt;=15,'VARIABLES MODELO'!$B$8,'VARIABLES MODELO'!$B$10)</f>
        <v>833.86</v>
      </c>
      <c r="K10" s="51">
        <f t="shared" si="3"/>
        <v>1587.6694399999999</v>
      </c>
      <c r="L10" s="51">
        <f>SUM($K$4:K10)</f>
        <v>7747.8101899999992</v>
      </c>
      <c r="M10" s="3">
        <f>MROUND(I10*'VARIABLES MODELO'!$B$5,25)</f>
        <v>75</v>
      </c>
      <c r="N10" s="3">
        <f>IF(A10&lt;=15,MROUND(M10/'VARIABLES MODELO'!$B$11,0.5),MROUND(M10/'VARIABLES MODELO'!$B$12,0.5))</f>
        <v>3</v>
      </c>
      <c r="O10" s="3">
        <f>IF(A10&lt;=15,SUM($M$4:M10)/'VARIABLES MODELO'!$B$11,SUM($M10:M$19)/'VARIABLES MODELO'!$B$12)</f>
        <v>11</v>
      </c>
    </row>
    <row r="11" spans="1:16" x14ac:dyDescent="0.45">
      <c r="A11">
        <v>8</v>
      </c>
      <c r="B11" s="50">
        <f>'VARIABLES MODELO'!$B$4+A11-1</f>
        <v>46292</v>
      </c>
      <c r="C11" t="str">
        <f t="shared" si="0"/>
        <v>Hiper-Precoz 23%</v>
      </c>
      <c r="D11" s="3">
        <f t="shared" si="4"/>
        <v>54.29999999999999</v>
      </c>
      <c r="E11" s="3">
        <f>HIPER!C13</f>
        <v>0</v>
      </c>
      <c r="F11" s="77">
        <f>IF(A11&lt;=5,'VARIABLES MODELO'!$B$13,IF(A11&lt;=15,'VARIABLES MODELO'!$B$14,IF(A11&lt;=50,'VARIABLES MODELO'!$B$15,IF(A11&lt;=80,'VARIABLES MODELO'!$B$16,IF(A11&lt;=120,'VARIABLES MODELO'!$B$17,'VARIABLES MODELO'!$B$18)))))</f>
        <v>3.5000000000000003E-2</v>
      </c>
      <c r="G11" s="5">
        <f t="shared" si="1"/>
        <v>1.9004999999999999</v>
      </c>
      <c r="H11" s="78"/>
      <c r="I11" s="5">
        <f t="shared" si="2"/>
        <v>1.9004999999999999</v>
      </c>
      <c r="J11" s="51">
        <f>IF(A11&lt;=15,'VARIABLES MODELO'!$B$8,'VARIABLES MODELO'!$B$10)</f>
        <v>833.86</v>
      </c>
      <c r="K11" s="51">
        <f t="shared" si="3"/>
        <v>1584.7509299999999</v>
      </c>
      <c r="L11" s="51">
        <f>SUM($K$4:K11)</f>
        <v>9332.5611199999985</v>
      </c>
      <c r="M11" s="3">
        <f>MROUND(I11*'VARIABLES MODELO'!$B$5,25)</f>
        <v>75</v>
      </c>
      <c r="N11" s="3">
        <f>IF(A11&lt;=15,MROUND(M11/'VARIABLES MODELO'!$B$11,0.5),MROUND(M11/'VARIABLES MODELO'!$B$12,0.5))</f>
        <v>3</v>
      </c>
      <c r="O11" s="3">
        <f>IF(A11&lt;=15,SUM($M$4:M11)/'VARIABLES MODELO'!$B$11,SUM($M11:M$19)/'VARIABLES MODELO'!$B$12)</f>
        <v>14</v>
      </c>
    </row>
    <row r="12" spans="1:16" x14ac:dyDescent="0.45">
      <c r="A12">
        <v>9</v>
      </c>
      <c r="B12" s="50">
        <f>'VARIABLES MODELO'!$B$4+A12-1</f>
        <v>46293</v>
      </c>
      <c r="C12" t="str">
        <f t="shared" si="0"/>
        <v>Hiper-Precoz 23%</v>
      </c>
      <c r="D12" s="3">
        <f t="shared" si="4"/>
        <v>54.29999999999999</v>
      </c>
      <c r="E12" s="3">
        <f>HIPER!C14</f>
        <v>0.1</v>
      </c>
      <c r="F12" s="77">
        <f>IF(A12&lt;=5,'VARIABLES MODELO'!$B$13,IF(A12&lt;=15,'VARIABLES MODELO'!$B$14,IF(A12&lt;=50,'VARIABLES MODELO'!$B$15,IF(A12&lt;=80,'VARIABLES MODELO'!$B$16,IF(A12&lt;=120,'VARIABLES MODELO'!$B$17,'VARIABLES MODELO'!$B$18)))))</f>
        <v>3.5000000000000003E-2</v>
      </c>
      <c r="G12" s="5">
        <f t="shared" si="1"/>
        <v>1.9004999999999999</v>
      </c>
      <c r="H12" s="78"/>
      <c r="I12" s="5">
        <f t="shared" si="2"/>
        <v>1.9004999999999999</v>
      </c>
      <c r="J12" s="51">
        <f>IF(A12&lt;=15,'VARIABLES MODELO'!$B$8,'VARIABLES MODELO'!$B$10)</f>
        <v>833.86</v>
      </c>
      <c r="K12" s="51">
        <f t="shared" si="3"/>
        <v>1584.7509299999999</v>
      </c>
      <c r="L12" s="51">
        <f>SUM($K$4:K12)</f>
        <v>10917.312049999999</v>
      </c>
      <c r="M12" s="3">
        <f>MROUND(I12*'VARIABLES MODELO'!$B$5,25)</f>
        <v>75</v>
      </c>
      <c r="N12" s="3">
        <f>IF(A12&lt;=15,MROUND(M12/'VARIABLES MODELO'!$B$11,0.5),MROUND(M12/'VARIABLES MODELO'!$B$12,0.5))</f>
        <v>3</v>
      </c>
      <c r="O12" s="3">
        <f>IF(A12&lt;=15,SUM($M$4:M12)/'VARIABLES MODELO'!$B$11,SUM($M12:M$19)/'VARIABLES MODELO'!$B$12)</f>
        <v>17</v>
      </c>
    </row>
    <row r="13" spans="1:16" x14ac:dyDescent="0.45">
      <c r="A13">
        <v>10</v>
      </c>
      <c r="B13" s="50">
        <f>'VARIABLES MODELO'!$B$4+A13-1</f>
        <v>46294</v>
      </c>
      <c r="C13" t="str">
        <f t="shared" si="0"/>
        <v>Hiper-Precoz 23%</v>
      </c>
      <c r="D13" s="3">
        <f t="shared" si="4"/>
        <v>54.399999999999991</v>
      </c>
      <c r="E13" s="3">
        <f>HIPER!C15</f>
        <v>0.1</v>
      </c>
      <c r="F13" s="77">
        <f>IF(A13&lt;=5,'VARIABLES MODELO'!$B$13,IF(A13&lt;=15,'VARIABLES MODELO'!$B$14,IF(A13&lt;=50,'VARIABLES MODELO'!$B$15,IF(A13&lt;=80,'VARIABLES MODELO'!$B$16,IF(A13&lt;=120,'VARIABLES MODELO'!$B$17,'VARIABLES MODELO'!$B$18)))))</f>
        <v>3.5000000000000003E-2</v>
      </c>
      <c r="G13" s="5">
        <f t="shared" si="1"/>
        <v>1.9039999999999999</v>
      </c>
      <c r="H13" s="78"/>
      <c r="I13" s="5">
        <f t="shared" si="2"/>
        <v>1.9039999999999999</v>
      </c>
      <c r="J13" s="51">
        <f>IF(A13&lt;=15,'VARIABLES MODELO'!$B$8,'VARIABLES MODELO'!$B$10)</f>
        <v>833.86</v>
      </c>
      <c r="K13" s="51">
        <f t="shared" si="3"/>
        <v>1587.6694399999999</v>
      </c>
      <c r="L13" s="51">
        <f>SUM($K$4:K13)</f>
        <v>12504.981489999998</v>
      </c>
      <c r="M13" s="3">
        <f>MROUND(I13*'VARIABLES MODELO'!$B$5,25)</f>
        <v>75</v>
      </c>
      <c r="N13" s="3">
        <f>IF(A13&lt;=15,MROUND(M13/'VARIABLES MODELO'!$B$11,0.5),MROUND(M13/'VARIABLES MODELO'!$B$12,0.5))</f>
        <v>3</v>
      </c>
      <c r="O13" s="3">
        <f>IF(A13&lt;=15,SUM($M$4:M13)/'VARIABLES MODELO'!$B$11,SUM($M13:M$19)/'VARIABLES MODELO'!$B$12)</f>
        <v>20</v>
      </c>
    </row>
    <row r="14" spans="1:16" x14ac:dyDescent="0.45">
      <c r="A14">
        <v>11</v>
      </c>
      <c r="B14" s="50">
        <f>'VARIABLES MODELO'!$B$4+A14-1</f>
        <v>46295</v>
      </c>
      <c r="C14" t="str">
        <f t="shared" si="0"/>
        <v>Hiper-Precoz 23%</v>
      </c>
      <c r="D14" s="3">
        <f t="shared" si="4"/>
        <v>54.499999999999993</v>
      </c>
      <c r="E14" s="3">
        <f>HIPER!C16</f>
        <v>0.1</v>
      </c>
      <c r="F14" s="77">
        <f>IF(A14&lt;=5,'VARIABLES MODELO'!$B$13,IF(A14&lt;=15,'VARIABLES MODELO'!$B$14,IF(A14&lt;=50,'VARIABLES MODELO'!$B$15,IF(A14&lt;=80,'VARIABLES MODELO'!$B$16,IF(A14&lt;=120,'VARIABLES MODELO'!$B$17,'VARIABLES MODELO'!$B$18)))))</f>
        <v>3.5000000000000003E-2</v>
      </c>
      <c r="G14" s="5">
        <f t="shared" si="1"/>
        <v>1.9075</v>
      </c>
      <c r="H14" s="78"/>
      <c r="I14" s="5">
        <f t="shared" si="2"/>
        <v>1.9075</v>
      </c>
      <c r="J14" s="51">
        <f>IF(A14&lt;=15,'VARIABLES MODELO'!$B$8,'VARIABLES MODELO'!$B$10)</f>
        <v>833.86</v>
      </c>
      <c r="K14" s="51">
        <f t="shared" si="3"/>
        <v>1590.5879500000001</v>
      </c>
      <c r="L14" s="51">
        <f>SUM($K$4:K14)</f>
        <v>14095.569439999999</v>
      </c>
      <c r="M14" s="3">
        <f>MROUND(I14*'VARIABLES MODELO'!$B$5,25)</f>
        <v>75</v>
      </c>
      <c r="N14" s="3">
        <f>IF(A14&lt;=15,MROUND(M14/'VARIABLES MODELO'!$B$11,0.5),MROUND(M14/'VARIABLES MODELO'!$B$12,0.5))</f>
        <v>3</v>
      </c>
      <c r="O14" s="3">
        <f>IF(A14&lt;=15,SUM($M$4:M14)/'VARIABLES MODELO'!$B$11,SUM($M14:M$19)/'VARIABLES MODELO'!$B$12)</f>
        <v>23</v>
      </c>
    </row>
    <row r="15" spans="1:16" x14ac:dyDescent="0.45">
      <c r="A15">
        <v>12</v>
      </c>
      <c r="B15" s="50">
        <f>'VARIABLES MODELO'!$B$4+A15-1</f>
        <v>46296</v>
      </c>
      <c r="C15" t="str">
        <f t="shared" si="0"/>
        <v>Hiper-Precoz 23%</v>
      </c>
      <c r="D15" s="3">
        <f t="shared" si="4"/>
        <v>54.599999999999994</v>
      </c>
      <c r="E15" s="3">
        <f>HIPER!C17</f>
        <v>0.15</v>
      </c>
      <c r="F15" s="77">
        <f>IF(A15&lt;=5,'VARIABLES MODELO'!$B$13,IF(A15&lt;=15,'VARIABLES MODELO'!$B$14,IF(A15&lt;=50,'VARIABLES MODELO'!$B$15,IF(A15&lt;=80,'VARIABLES MODELO'!$B$16,IF(A15&lt;=120,'VARIABLES MODELO'!$B$17,'VARIABLES MODELO'!$B$18)))))</f>
        <v>3.5000000000000003E-2</v>
      </c>
      <c r="G15" s="5">
        <f t="shared" si="1"/>
        <v>1.911</v>
      </c>
      <c r="H15" s="78"/>
      <c r="I15" s="5">
        <f t="shared" si="2"/>
        <v>1.911</v>
      </c>
      <c r="J15" s="51">
        <f>IF(A15&lt;=15,'VARIABLES MODELO'!$B$8,'VARIABLES MODELO'!$B$10)</f>
        <v>833.86</v>
      </c>
      <c r="K15" s="51">
        <f t="shared" si="3"/>
        <v>1593.5064600000001</v>
      </c>
      <c r="L15" s="51">
        <f>SUM($K$4:K15)</f>
        <v>15689.0759</v>
      </c>
      <c r="M15" s="3">
        <f>MROUND(I15*'VARIABLES MODELO'!$B$5,25)</f>
        <v>75</v>
      </c>
      <c r="N15" s="3">
        <f>IF(A15&lt;=15,MROUND(M15/'VARIABLES MODELO'!$B$11,0.5),MROUND(M15/'VARIABLES MODELO'!$B$12,0.5))</f>
        <v>3</v>
      </c>
      <c r="O15" s="3">
        <f>IF(A15&lt;=15,SUM($M$4:M15)/'VARIABLES MODELO'!$B$11,SUM($M15:M$19)/'VARIABLES MODELO'!$B$12)</f>
        <v>26</v>
      </c>
    </row>
    <row r="16" spans="1:16" x14ac:dyDescent="0.45">
      <c r="A16">
        <v>13</v>
      </c>
      <c r="B16" s="50">
        <f>'VARIABLES MODELO'!$B$4+A16-1</f>
        <v>46297</v>
      </c>
      <c r="C16" t="str">
        <f t="shared" si="0"/>
        <v>Hiper-Precoz 23%</v>
      </c>
      <c r="D16" s="3">
        <f t="shared" si="4"/>
        <v>54.749999999999993</v>
      </c>
      <c r="E16" s="3">
        <f>HIPER!C18</f>
        <v>0.15</v>
      </c>
      <c r="F16" s="77">
        <f>IF(A16&lt;=5,'VARIABLES MODELO'!$B$13,IF(A16&lt;=15,'VARIABLES MODELO'!$B$14,IF(A16&lt;=50,'VARIABLES MODELO'!$B$15,IF(A16&lt;=80,'VARIABLES MODELO'!$B$16,IF(A16&lt;=120,'VARIABLES MODELO'!$B$17,'VARIABLES MODELO'!$B$18)))))</f>
        <v>3.5000000000000003E-2</v>
      </c>
      <c r="G16" s="5">
        <f t="shared" si="1"/>
        <v>1.91625</v>
      </c>
      <c r="H16" s="78"/>
      <c r="I16" s="5">
        <f t="shared" si="2"/>
        <v>1.91625</v>
      </c>
      <c r="J16" s="51">
        <f>IF(A16&lt;=15,'VARIABLES MODELO'!$B$8,'VARIABLES MODELO'!$B$10)</f>
        <v>833.86</v>
      </c>
      <c r="K16" s="51">
        <f t="shared" si="3"/>
        <v>1597.884225</v>
      </c>
      <c r="L16" s="51">
        <f>SUM($K$4:K16)</f>
        <v>17286.960125000001</v>
      </c>
      <c r="M16" s="3">
        <f>MROUND(I16*'VARIABLES MODELO'!$B$5,25)</f>
        <v>75</v>
      </c>
      <c r="N16" s="3">
        <f>IF(A16&lt;=15,MROUND(M16/'VARIABLES MODELO'!$B$11,0.5),MROUND(M16/'VARIABLES MODELO'!$B$12,0.5))</f>
        <v>3</v>
      </c>
      <c r="O16" s="3">
        <f>IF(A16&lt;=15,SUM($M$4:M16)/'VARIABLES MODELO'!$B$11,SUM($M16:M$19)/'VARIABLES MODELO'!$B$12)</f>
        <v>29</v>
      </c>
    </row>
    <row r="17" spans="1:15" x14ac:dyDescent="0.45">
      <c r="A17">
        <v>14</v>
      </c>
      <c r="B17" s="50">
        <f>'VARIABLES MODELO'!$B$4+A17-1</f>
        <v>46298</v>
      </c>
      <c r="C17" t="str">
        <f t="shared" si="0"/>
        <v>Hiper-Precoz 23%</v>
      </c>
      <c r="D17" s="3">
        <f t="shared" si="4"/>
        <v>54.899999999999991</v>
      </c>
      <c r="E17" s="3">
        <f>HIPER!C19</f>
        <v>0.15</v>
      </c>
      <c r="F17" s="77">
        <f>IF(A17&lt;=5,'VARIABLES MODELO'!$B$13,IF(A17&lt;=15,'VARIABLES MODELO'!$B$14,IF(A17&lt;=50,'VARIABLES MODELO'!$B$15,IF(A17&lt;=80,'VARIABLES MODELO'!$B$16,IF(A17&lt;=120,'VARIABLES MODELO'!$B$17,'VARIABLES MODELO'!$B$18)))))</f>
        <v>3.5000000000000003E-2</v>
      </c>
      <c r="G17" s="5">
        <f t="shared" si="1"/>
        <v>1.9215</v>
      </c>
      <c r="H17" s="78"/>
      <c r="I17" s="5">
        <f t="shared" si="2"/>
        <v>1.9215</v>
      </c>
      <c r="J17" s="51">
        <f>IF(A17&lt;=15,'VARIABLES MODELO'!$B$8,'VARIABLES MODELO'!$B$10)</f>
        <v>833.86</v>
      </c>
      <c r="K17" s="51">
        <f t="shared" si="3"/>
        <v>1602.26199</v>
      </c>
      <c r="L17" s="51">
        <f>SUM($K$4:K17)</f>
        <v>18889.222115</v>
      </c>
      <c r="M17" s="3">
        <f>MROUND(I17*'VARIABLES MODELO'!$B$5,25)</f>
        <v>75</v>
      </c>
      <c r="N17" s="3">
        <f>IF(A17&lt;=15,MROUND(M17/'VARIABLES MODELO'!$B$11,0.5),MROUND(M17/'VARIABLES MODELO'!$B$12,0.5))</f>
        <v>3</v>
      </c>
      <c r="O17" s="3">
        <f>IF(A17&lt;=15,SUM($M$4:M17)/'VARIABLES MODELO'!$B$11,SUM($M17:M$19)/'VARIABLES MODELO'!$B$12)</f>
        <v>32</v>
      </c>
    </row>
    <row r="18" spans="1:15" s="79" customFormat="1" x14ac:dyDescent="0.45">
      <c r="A18" s="80">
        <v>15</v>
      </c>
      <c r="B18" s="81">
        <f>'VARIABLES MODELO'!$B$4+A18-1</f>
        <v>46299</v>
      </c>
      <c r="C18" s="80" t="str">
        <f t="shared" si="0"/>
        <v>Hiper-Precoz 23%</v>
      </c>
      <c r="D18" s="94">
        <f>+D17+E17</f>
        <v>55.04999999999999</v>
      </c>
      <c r="E18" s="82">
        <f>HIPER!C20</f>
        <v>0.15</v>
      </c>
      <c r="F18" s="83">
        <f>IF(A18&lt;=5,'VARIABLES MODELO'!$B$13,IF(A18&lt;=15,'VARIABLES MODELO'!$B$14,IF(A18&lt;=50,'VARIABLES MODELO'!$B$15,IF(A18&lt;=80,'VARIABLES MODELO'!$B$16,IF(A18&lt;=120,'VARIABLES MODELO'!$B$17,'VARIABLES MODELO'!$B$18)))))</f>
        <v>3.5000000000000003E-2</v>
      </c>
      <c r="G18" s="84">
        <f t="shared" si="1"/>
        <v>1.9267499999999997</v>
      </c>
      <c r="H18" s="84"/>
      <c r="I18" s="84">
        <f t="shared" si="2"/>
        <v>1.9267499999999997</v>
      </c>
      <c r="J18" s="85">
        <f>IF(A18&lt;=15,'VARIABLES MODELO'!$B$8,'VARIABLES MODELO'!$B$10)</f>
        <v>833.86</v>
      </c>
      <c r="K18" s="85">
        <f t="shared" si="3"/>
        <v>1606.6397549999999</v>
      </c>
      <c r="L18" s="85">
        <f>SUM($K$4:K18)</f>
        <v>20495.861870000001</v>
      </c>
      <c r="M18" s="82">
        <f>MROUND(I18*'VARIABLES MODELO'!$B$5,25)</f>
        <v>75</v>
      </c>
      <c r="N18" s="82">
        <f>IF(A18&lt;=15,MROUND(M18/'VARIABLES MODELO'!$B$11,0.5),MROUND(M18/'VARIABLES MODELO'!$B$12,0.5))</f>
        <v>3</v>
      </c>
      <c r="O18" s="82">
        <f>IF(A18&lt;=15,SUM($M$4:M18)/'VARIABLES MODELO'!$B$11,SUM($M18:M$19)/'VARIABLES MODELO'!$B$12)</f>
        <v>35</v>
      </c>
    </row>
    <row r="19" spans="1:15" x14ac:dyDescent="0.45">
      <c r="A19">
        <v>16</v>
      </c>
      <c r="B19" s="50">
        <f>'VARIABLES MODELO'!$B$4+A19-1</f>
        <v>46300</v>
      </c>
      <c r="C19" t="str">
        <f t="shared" si="0"/>
        <v>Precoz 19%</v>
      </c>
      <c r="D19" s="3">
        <f t="shared" ref="D19:D82" si="5">+D18+E18</f>
        <v>55.199999999999989</v>
      </c>
      <c r="E19" s="3">
        <f>PRECOZ!C6</f>
        <v>0.25</v>
      </c>
      <c r="F19" s="77">
        <f>IF(A19&lt;=5,'VARIABLES MODELO'!$B$13,IF(A19&lt;=15,'VARIABLES MODELO'!$B$14,IF(A19&lt;=50,'VARIABLES MODELO'!$B$15,IF(A19&lt;=80,'VARIABLES MODELO'!$B$16,IF(A19&lt;=120,'VARIABLES MODELO'!$B$17,'VARIABLES MODELO'!$B$18)))))</f>
        <v>3.2000000000000001E-2</v>
      </c>
      <c r="G19" s="5">
        <f t="shared" si="1"/>
        <v>1.7663999999999997</v>
      </c>
      <c r="H19" s="78"/>
      <c r="I19" s="5">
        <f t="shared" si="2"/>
        <v>1.7663999999999997</v>
      </c>
      <c r="J19" s="51">
        <f>IF(A19&lt;=15,'VARIABLES MODELO'!$B$8,'VARIABLES MODELO'!$B$10)</f>
        <v>509.36</v>
      </c>
      <c r="K19" s="51">
        <f t="shared" si="3"/>
        <v>899.73350399999993</v>
      </c>
      <c r="L19" s="51">
        <f>SUM($K$4:K19)</f>
        <v>21395.595374</v>
      </c>
      <c r="M19" s="3">
        <f>MROUND(I19*'VARIABLES MODELO'!$B$5,30)</f>
        <v>60</v>
      </c>
      <c r="N19" s="3">
        <f>IF(A19&lt;=15,MROUND(M19/'VARIABLES MODELO'!$B$11,0.5),MROUND(M19/'VARIABLES MODELO'!$B$12,0.5))</f>
        <v>2</v>
      </c>
      <c r="O19" s="3">
        <f>IF(A19&lt;=15,SUM($M$4:M19)/'VARIABLES MODELO'!$B$11,SUM($M$19:M19)/'VARIABLES MODELO'!$B$12)</f>
        <v>2</v>
      </c>
    </row>
    <row r="20" spans="1:15" x14ac:dyDescent="0.45">
      <c r="A20">
        <v>17</v>
      </c>
      <c r="B20" s="50">
        <f>'VARIABLES MODELO'!$B$4+A20-1</f>
        <v>46301</v>
      </c>
      <c r="C20" t="str">
        <f t="shared" si="0"/>
        <v>Precoz 19%</v>
      </c>
      <c r="D20" s="3">
        <f t="shared" si="5"/>
        <v>55.449999999999989</v>
      </c>
      <c r="E20" s="3">
        <f>PRECOZ!C7</f>
        <v>0.25</v>
      </c>
      <c r="F20" s="77">
        <f>IF(A20&lt;=5,'VARIABLES MODELO'!$B$13,IF(A20&lt;=15,'VARIABLES MODELO'!$B$14,IF(A20&lt;=50,'VARIABLES MODELO'!$B$15,IF(A20&lt;=80,'VARIABLES MODELO'!$B$16,IF(A20&lt;=120,'VARIABLES MODELO'!$B$17,'VARIABLES MODELO'!$B$18)))))</f>
        <v>3.2000000000000001E-2</v>
      </c>
      <c r="G20" s="5">
        <f t="shared" si="1"/>
        <v>1.7743999999999998</v>
      </c>
      <c r="H20" s="78"/>
      <c r="I20" s="5">
        <f t="shared" si="2"/>
        <v>1.7743999999999998</v>
      </c>
      <c r="J20" s="51">
        <f>IF(A20&lt;=15,'VARIABLES MODELO'!$B$8,'VARIABLES MODELO'!$B$10)</f>
        <v>509.36</v>
      </c>
      <c r="K20" s="51">
        <f t="shared" si="3"/>
        <v>903.80838399999993</v>
      </c>
      <c r="L20" s="51">
        <f>SUM($K$4:K20)</f>
        <v>22299.403758</v>
      </c>
      <c r="M20" s="3">
        <f>MROUND(I20*'VARIABLES MODELO'!$B$5,30)</f>
        <v>60</v>
      </c>
      <c r="N20" s="3">
        <f>IF(A20&lt;=15,MROUND(M20/'VARIABLES MODELO'!$B$11,0.5),MROUND(M20/'VARIABLES MODELO'!$B$12,0.5))</f>
        <v>2</v>
      </c>
      <c r="O20" s="3">
        <f>IF(A20&lt;=15,SUM($M$4:M20)/'VARIABLES MODELO'!$B$11,SUM($M$19:M20)/'VARIABLES MODELO'!$B$12)</f>
        <v>4</v>
      </c>
    </row>
    <row r="21" spans="1:15" x14ac:dyDescent="0.45">
      <c r="A21">
        <v>18</v>
      </c>
      <c r="B21" s="50">
        <f>'VARIABLES MODELO'!$B$4+A21-1</f>
        <v>46302</v>
      </c>
      <c r="C21" t="str">
        <f t="shared" si="0"/>
        <v>Precoz 19%</v>
      </c>
      <c r="D21" s="3">
        <f t="shared" si="5"/>
        <v>55.699999999999989</v>
      </c>
      <c r="E21" s="3">
        <f>PRECOZ!C8</f>
        <v>0.25</v>
      </c>
      <c r="F21" s="77">
        <f>IF(A21&lt;=5,'VARIABLES MODELO'!$B$13,IF(A21&lt;=15,'VARIABLES MODELO'!$B$14,IF(A21&lt;=50,'VARIABLES MODELO'!$B$15,IF(A21&lt;=80,'VARIABLES MODELO'!$B$16,IF(A21&lt;=120,'VARIABLES MODELO'!$B$17,'VARIABLES MODELO'!$B$18)))))</f>
        <v>3.2000000000000001E-2</v>
      </c>
      <c r="G21" s="5">
        <f t="shared" si="1"/>
        <v>1.7823999999999998</v>
      </c>
      <c r="H21" s="78"/>
      <c r="I21" s="5">
        <f t="shared" si="2"/>
        <v>1.7823999999999998</v>
      </c>
      <c r="J21" s="51">
        <f>IF(A21&lt;=15,'VARIABLES MODELO'!$B$8,'VARIABLES MODELO'!$B$10)</f>
        <v>509.36</v>
      </c>
      <c r="K21" s="51">
        <f t="shared" si="3"/>
        <v>907.88326399999994</v>
      </c>
      <c r="L21" s="51">
        <f>SUM($K$4:K21)</f>
        <v>23207.287022</v>
      </c>
      <c r="M21" s="3">
        <f>MROUND(I21*'VARIABLES MODELO'!$B$5,30)</f>
        <v>60</v>
      </c>
      <c r="N21" s="3">
        <f>IF(A21&lt;=15,MROUND(M21/'VARIABLES MODELO'!$B$11,0.5),MROUND(M21/'VARIABLES MODELO'!$B$12,0.5))</f>
        <v>2</v>
      </c>
      <c r="O21" s="3">
        <f>IF(A21&lt;=15,SUM($M$4:M21)/'VARIABLES MODELO'!$B$11,SUM($M$19:M21)/'VARIABLES MODELO'!$B$12)</f>
        <v>6</v>
      </c>
    </row>
    <row r="22" spans="1:15" x14ac:dyDescent="0.45">
      <c r="A22">
        <v>19</v>
      </c>
      <c r="B22" s="50">
        <f>'VARIABLES MODELO'!$B$4+A22-1</f>
        <v>46303</v>
      </c>
      <c r="C22" t="str">
        <f t="shared" si="0"/>
        <v>Precoz 19%</v>
      </c>
      <c r="D22" s="3">
        <f t="shared" si="5"/>
        <v>55.949999999999989</v>
      </c>
      <c r="E22" s="3">
        <f>PRECOZ!C9</f>
        <v>0.3</v>
      </c>
      <c r="F22" s="77">
        <f>IF(A22&lt;=5,'VARIABLES MODELO'!$B$13,IF(A22&lt;=15,'VARIABLES MODELO'!$B$14,IF(A22&lt;=50,'VARIABLES MODELO'!$B$15,IF(A22&lt;=80,'VARIABLES MODELO'!$B$16,IF(A22&lt;=120,'VARIABLES MODELO'!$B$17,'VARIABLES MODELO'!$B$18)))))</f>
        <v>3.2000000000000001E-2</v>
      </c>
      <c r="G22" s="5">
        <f t="shared" si="1"/>
        <v>1.7903999999999998</v>
      </c>
      <c r="H22" s="78"/>
      <c r="I22" s="5">
        <f t="shared" si="2"/>
        <v>1.7903999999999998</v>
      </c>
      <c r="J22" s="51">
        <f>IF(A22&lt;=15,'VARIABLES MODELO'!$B$8,'VARIABLES MODELO'!$B$10)</f>
        <v>509.36</v>
      </c>
      <c r="K22" s="51">
        <f t="shared" si="3"/>
        <v>911.95814399999995</v>
      </c>
      <c r="L22" s="51">
        <f>SUM($K$4:K22)</f>
        <v>24119.245166000001</v>
      </c>
      <c r="M22" s="3">
        <f>MROUND(I22*'VARIABLES MODELO'!$B$5,30)</f>
        <v>60</v>
      </c>
      <c r="N22" s="3">
        <f>IF(A22&lt;=15,MROUND(M22/'VARIABLES MODELO'!$B$11,0.5),MROUND(M22/'VARIABLES MODELO'!$B$12,0.5))</f>
        <v>2</v>
      </c>
      <c r="O22" s="3">
        <f>IF(A22&lt;=15,SUM($M$4:M22)/'VARIABLES MODELO'!$B$11,SUM($M$19:M22)/'VARIABLES MODELO'!$B$12)</f>
        <v>8</v>
      </c>
    </row>
    <row r="23" spans="1:15" x14ac:dyDescent="0.45">
      <c r="A23">
        <v>20</v>
      </c>
      <c r="B23" s="50">
        <f>'VARIABLES MODELO'!$B$4+A23-1</f>
        <v>46304</v>
      </c>
      <c r="C23" t="str">
        <f t="shared" si="0"/>
        <v>Precoz 19%</v>
      </c>
      <c r="D23" s="3">
        <f t="shared" si="5"/>
        <v>56.249999999999986</v>
      </c>
      <c r="E23" s="3">
        <f>PRECOZ!C10</f>
        <v>0.3</v>
      </c>
      <c r="F23" s="77">
        <f>IF(A23&lt;=5,'VARIABLES MODELO'!$B$13,IF(A23&lt;=15,'VARIABLES MODELO'!$B$14,IF(A23&lt;=50,'VARIABLES MODELO'!$B$15,IF(A23&lt;=80,'VARIABLES MODELO'!$B$16,IF(A23&lt;=120,'VARIABLES MODELO'!$B$17,'VARIABLES MODELO'!$B$18)))))</f>
        <v>3.2000000000000001E-2</v>
      </c>
      <c r="G23" s="5">
        <f t="shared" si="1"/>
        <v>1.7999999999999996</v>
      </c>
      <c r="H23" s="78"/>
      <c r="I23" s="5">
        <f t="shared" si="2"/>
        <v>1.7999999999999996</v>
      </c>
      <c r="J23" s="51">
        <f>IF(A23&lt;=15,'VARIABLES MODELO'!$B$8,'VARIABLES MODELO'!$B$10)</f>
        <v>509.36</v>
      </c>
      <c r="K23" s="51">
        <f t="shared" si="3"/>
        <v>916.84799999999984</v>
      </c>
      <c r="L23" s="51">
        <f>SUM($K$4:K23)</f>
        <v>25036.093165999999</v>
      </c>
      <c r="M23" s="3">
        <f>MROUND(I23*'VARIABLES MODELO'!$B$5,30)</f>
        <v>60</v>
      </c>
      <c r="N23" s="3">
        <f>IF(A23&lt;=15,MROUND(M23/'VARIABLES MODELO'!$B$11,0.5),MROUND(M23/'VARIABLES MODELO'!$B$12,0.5))</f>
        <v>2</v>
      </c>
      <c r="O23" s="3">
        <f>IF(A23&lt;=15,SUM($M$4:M23)/'VARIABLES MODELO'!$B$11,SUM($M$19:M23)/'VARIABLES MODELO'!$B$12)</f>
        <v>10</v>
      </c>
    </row>
    <row r="24" spans="1:15" x14ac:dyDescent="0.45">
      <c r="A24">
        <v>21</v>
      </c>
      <c r="B24" s="50">
        <f>'VARIABLES MODELO'!$B$4+A24-1</f>
        <v>46305</v>
      </c>
      <c r="C24" t="str">
        <f t="shared" si="0"/>
        <v>Precoz 19%</v>
      </c>
      <c r="D24" s="3">
        <f t="shared" si="5"/>
        <v>56.549999999999983</v>
      </c>
      <c r="E24" s="3">
        <f>PRECOZ!C11</f>
        <v>0.3</v>
      </c>
      <c r="F24" s="77">
        <f>IF(A24&lt;=5,'VARIABLES MODELO'!$B$13,IF(A24&lt;=15,'VARIABLES MODELO'!$B$14,IF(A24&lt;=50,'VARIABLES MODELO'!$B$15,IF(A24&lt;=80,'VARIABLES MODELO'!$B$16,IF(A24&lt;=120,'VARIABLES MODELO'!$B$17,'VARIABLES MODELO'!$B$18)))))</f>
        <v>3.2000000000000001E-2</v>
      </c>
      <c r="G24" s="5">
        <f t="shared" si="1"/>
        <v>1.8095999999999994</v>
      </c>
      <c r="H24" s="78"/>
      <c r="I24" s="5">
        <f t="shared" si="2"/>
        <v>1.8095999999999994</v>
      </c>
      <c r="J24" s="51">
        <f>IF(A24&lt;=15,'VARIABLES MODELO'!$B$8,'VARIABLES MODELO'!$B$10)</f>
        <v>509.36</v>
      </c>
      <c r="K24" s="51">
        <f t="shared" si="3"/>
        <v>921.73785599999974</v>
      </c>
      <c r="L24" s="51">
        <f>SUM($K$4:K24)</f>
        <v>25957.831021999998</v>
      </c>
      <c r="M24" s="3">
        <f>MROUND(I24*'VARIABLES MODELO'!$B$5,30)</f>
        <v>60</v>
      </c>
      <c r="N24" s="3">
        <f>IF(A24&lt;=15,MROUND(M24/'VARIABLES MODELO'!$B$11,0.5),MROUND(M24/'VARIABLES MODELO'!$B$12,0.5))</f>
        <v>2</v>
      </c>
      <c r="O24" s="3">
        <f>IF(A24&lt;=15,SUM($M$4:M24)/'VARIABLES MODELO'!$B$11,SUM($M$19:M24)/'VARIABLES MODELO'!$B$12)</f>
        <v>12</v>
      </c>
    </row>
    <row r="25" spans="1:15" x14ac:dyDescent="0.45">
      <c r="A25">
        <v>22</v>
      </c>
      <c r="B25" s="50">
        <f>'VARIABLES MODELO'!$B$4+A25-1</f>
        <v>46306</v>
      </c>
      <c r="C25" t="str">
        <f t="shared" si="0"/>
        <v>Precoz 19%</v>
      </c>
      <c r="D25" s="3">
        <f t="shared" si="5"/>
        <v>56.84999999999998</v>
      </c>
      <c r="E25" s="3">
        <f>PRECOZ!C12</f>
        <v>0.3</v>
      </c>
      <c r="F25" s="77">
        <f>IF(A25&lt;=5,'VARIABLES MODELO'!$B$13,IF(A25&lt;=15,'VARIABLES MODELO'!$B$14,IF(A25&lt;=50,'VARIABLES MODELO'!$B$15,IF(A25&lt;=80,'VARIABLES MODELO'!$B$16,IF(A25&lt;=120,'VARIABLES MODELO'!$B$17,'VARIABLES MODELO'!$B$18)))))</f>
        <v>3.2000000000000001E-2</v>
      </c>
      <c r="G25" s="5">
        <f t="shared" si="1"/>
        <v>1.8191999999999995</v>
      </c>
      <c r="H25" s="78"/>
      <c r="I25" s="5">
        <f t="shared" si="2"/>
        <v>1.8191999999999995</v>
      </c>
      <c r="J25" s="51">
        <f>IF(A25&lt;=15,'VARIABLES MODELO'!$B$8,'VARIABLES MODELO'!$B$10)</f>
        <v>509.36</v>
      </c>
      <c r="K25" s="51">
        <f t="shared" si="3"/>
        <v>926.62771199999975</v>
      </c>
      <c r="L25" s="51">
        <f>SUM($K$4:K25)</f>
        <v>26884.458734</v>
      </c>
      <c r="M25" s="3">
        <f>MROUND(I25*'VARIABLES MODELO'!$B$5,30)</f>
        <v>60</v>
      </c>
      <c r="N25" s="3">
        <f>IF(A25&lt;=15,MROUND(M25/'VARIABLES MODELO'!$B$11,0.5),MROUND(M25/'VARIABLES MODELO'!$B$12,0.5))</f>
        <v>2</v>
      </c>
      <c r="O25" s="3">
        <f>IF(A25&lt;=15,SUM($M$4:M25)/'VARIABLES MODELO'!$B$11,SUM($M$19:M25)/'VARIABLES MODELO'!$B$12)</f>
        <v>14</v>
      </c>
    </row>
    <row r="26" spans="1:15" x14ac:dyDescent="0.45">
      <c r="A26">
        <v>23</v>
      </c>
      <c r="B26" s="50">
        <f>'VARIABLES MODELO'!$B$4+A26-1</f>
        <v>46307</v>
      </c>
      <c r="C26" t="str">
        <f t="shared" si="0"/>
        <v>Precoz 19%</v>
      </c>
      <c r="D26" s="3">
        <f t="shared" si="5"/>
        <v>57.149999999999977</v>
      </c>
      <c r="E26" s="3">
        <f>PRECOZ!C13</f>
        <v>0.3</v>
      </c>
      <c r="F26" s="77">
        <f>IF(A26&lt;=5,'VARIABLES MODELO'!$B$13,IF(A26&lt;=15,'VARIABLES MODELO'!$B$14,IF(A26&lt;=50,'VARIABLES MODELO'!$B$15,IF(A26&lt;=80,'VARIABLES MODELO'!$B$16,IF(A26&lt;=120,'VARIABLES MODELO'!$B$17,'VARIABLES MODELO'!$B$18)))))</f>
        <v>3.2000000000000001E-2</v>
      </c>
      <c r="G26" s="5">
        <f t="shared" si="1"/>
        <v>1.8287999999999993</v>
      </c>
      <c r="H26" s="78"/>
      <c r="I26" s="5">
        <f t="shared" si="2"/>
        <v>1.8287999999999993</v>
      </c>
      <c r="J26" s="51">
        <f>IF(A26&lt;=15,'VARIABLES MODELO'!$B$8,'VARIABLES MODELO'!$B$10)</f>
        <v>509.36</v>
      </c>
      <c r="K26" s="51">
        <f t="shared" si="3"/>
        <v>931.51756799999964</v>
      </c>
      <c r="L26" s="51">
        <f>SUM($K$4:K26)</f>
        <v>27815.976301999999</v>
      </c>
      <c r="M26" s="3">
        <f>MROUND(I26*'VARIABLES MODELO'!$B$5,30)</f>
        <v>60</v>
      </c>
      <c r="N26" s="3">
        <f>IF(A26&lt;=15,MROUND(M26/'VARIABLES MODELO'!$B$11,0.5),MROUND(M26/'VARIABLES MODELO'!$B$12,0.5))</f>
        <v>2</v>
      </c>
      <c r="O26" s="3">
        <f>IF(A26&lt;=15,SUM($M$4:M26)/'VARIABLES MODELO'!$B$11,SUM($M$19:M26)/'VARIABLES MODELO'!$B$12)</f>
        <v>16</v>
      </c>
    </row>
    <row r="27" spans="1:15" x14ac:dyDescent="0.45">
      <c r="A27">
        <v>24</v>
      </c>
      <c r="B27" s="50">
        <f>'VARIABLES MODELO'!$B$4+A27-1</f>
        <v>46308</v>
      </c>
      <c r="C27" t="str">
        <f t="shared" si="0"/>
        <v>Precoz 19%</v>
      </c>
      <c r="D27" s="3">
        <f t="shared" si="5"/>
        <v>57.449999999999974</v>
      </c>
      <c r="E27" s="3">
        <f>PRECOZ!C14</f>
        <v>0.3</v>
      </c>
      <c r="F27" s="77">
        <f>IF(A27&lt;=5,'VARIABLES MODELO'!$B$13,IF(A27&lt;=15,'VARIABLES MODELO'!$B$14,IF(A27&lt;=50,'VARIABLES MODELO'!$B$15,IF(A27&lt;=80,'VARIABLES MODELO'!$B$16,IF(A27&lt;=120,'VARIABLES MODELO'!$B$17,'VARIABLES MODELO'!$B$18)))))</f>
        <v>3.2000000000000001E-2</v>
      </c>
      <c r="G27" s="5">
        <f t="shared" si="1"/>
        <v>1.8383999999999991</v>
      </c>
      <c r="H27" s="78"/>
      <c r="I27" s="5">
        <f t="shared" si="2"/>
        <v>1.8383999999999991</v>
      </c>
      <c r="J27" s="51">
        <f>IF(A27&lt;=15,'VARIABLES MODELO'!$B$8,'VARIABLES MODELO'!$B$10)</f>
        <v>509.36</v>
      </c>
      <c r="K27" s="51">
        <f t="shared" si="3"/>
        <v>936.40742399999954</v>
      </c>
      <c r="L27" s="51">
        <f>SUM($K$4:K27)</f>
        <v>28752.383726</v>
      </c>
      <c r="M27" s="3">
        <f>MROUND(I27*'VARIABLES MODELO'!$B$5,30)</f>
        <v>60</v>
      </c>
      <c r="N27" s="3">
        <f>IF(A27&lt;=15,MROUND(M27/'VARIABLES MODELO'!$B$11,0.5),MROUND(M27/'VARIABLES MODELO'!$B$12,0.5))</f>
        <v>2</v>
      </c>
      <c r="O27" s="3">
        <f>IF(A27&lt;=15,SUM($M$4:M27)/'VARIABLES MODELO'!$B$11,SUM($M$19:M27)/'VARIABLES MODELO'!$B$12)</f>
        <v>18</v>
      </c>
    </row>
    <row r="28" spans="1:15" x14ac:dyDescent="0.45">
      <c r="A28">
        <v>25</v>
      </c>
      <c r="B28" s="50">
        <f>'VARIABLES MODELO'!$B$4+A28-1</f>
        <v>46309</v>
      </c>
      <c r="C28" t="str">
        <f t="shared" si="0"/>
        <v>Precoz 19%</v>
      </c>
      <c r="D28" s="3">
        <f t="shared" si="5"/>
        <v>57.749999999999972</v>
      </c>
      <c r="E28" s="3">
        <f>PRECOZ!C15</f>
        <v>0.3</v>
      </c>
      <c r="F28" s="77">
        <f>IF(A28&lt;=5,'VARIABLES MODELO'!$B$13,IF(A28&lt;=15,'VARIABLES MODELO'!$B$14,IF(A28&lt;=50,'VARIABLES MODELO'!$B$15,IF(A28&lt;=80,'VARIABLES MODELO'!$B$16,IF(A28&lt;=120,'VARIABLES MODELO'!$B$17,'VARIABLES MODELO'!$B$18)))))</f>
        <v>3.2000000000000001E-2</v>
      </c>
      <c r="G28" s="5">
        <f t="shared" si="1"/>
        <v>1.8479999999999992</v>
      </c>
      <c r="H28" s="78"/>
      <c r="I28" s="5">
        <f t="shared" si="2"/>
        <v>1.8479999999999992</v>
      </c>
      <c r="J28" s="51">
        <f>IF(A28&lt;=15,'VARIABLES MODELO'!$B$8,'VARIABLES MODELO'!$B$10)</f>
        <v>509.36</v>
      </c>
      <c r="K28" s="51">
        <f t="shared" si="3"/>
        <v>941.29727999999966</v>
      </c>
      <c r="L28" s="51">
        <f>SUM($K$4:K28)</f>
        <v>29693.681005999999</v>
      </c>
      <c r="M28" s="3">
        <f>MROUND(I28*'VARIABLES MODELO'!$B$5,30)</f>
        <v>60</v>
      </c>
      <c r="N28" s="3">
        <f>IF(A28&lt;=15,MROUND(M28/'VARIABLES MODELO'!$B$11,0.5),MROUND(M28/'VARIABLES MODELO'!$B$12,0.5))</f>
        <v>2</v>
      </c>
      <c r="O28" s="3">
        <f>IF(A28&lt;=15,SUM($M$4:M28)/'VARIABLES MODELO'!$B$11,SUM($M$19:M28)/'VARIABLES MODELO'!$B$12)</f>
        <v>20</v>
      </c>
    </row>
    <row r="29" spans="1:15" x14ac:dyDescent="0.45">
      <c r="A29">
        <v>26</v>
      </c>
      <c r="B29" s="50">
        <f>'VARIABLES MODELO'!$B$4+A29-1</f>
        <v>46310</v>
      </c>
      <c r="C29" t="str">
        <f t="shared" si="0"/>
        <v>Precoz 19%</v>
      </c>
      <c r="D29" s="3">
        <f t="shared" si="5"/>
        <v>58.049999999999969</v>
      </c>
      <c r="E29" s="3">
        <f>PRECOZ!C16</f>
        <v>0.4</v>
      </c>
      <c r="F29" s="77">
        <f>IF(A29&lt;=5,'VARIABLES MODELO'!$B$13,IF(A29&lt;=15,'VARIABLES MODELO'!$B$14,IF(A29&lt;=50,'VARIABLES MODELO'!$B$15,IF(A29&lt;=80,'VARIABLES MODELO'!$B$16,IF(A29&lt;=120,'VARIABLES MODELO'!$B$17,'VARIABLES MODELO'!$B$18)))))</f>
        <v>3.2000000000000001E-2</v>
      </c>
      <c r="G29" s="5">
        <f t="shared" si="1"/>
        <v>1.857599999999999</v>
      </c>
      <c r="H29" s="78"/>
      <c r="I29" s="5">
        <f t="shared" si="2"/>
        <v>1.857599999999999</v>
      </c>
      <c r="J29" s="51">
        <f>IF(A29&lt;=15,'VARIABLES MODELO'!$B$8,'VARIABLES MODELO'!$B$10)</f>
        <v>509.36</v>
      </c>
      <c r="K29" s="51">
        <f t="shared" si="3"/>
        <v>946.18713599999955</v>
      </c>
      <c r="L29" s="51">
        <f>SUM($K$4:K29)</f>
        <v>30639.868141999999</v>
      </c>
      <c r="M29" s="3">
        <f>MROUND(I29*'VARIABLES MODELO'!$B$5,30)</f>
        <v>60</v>
      </c>
      <c r="N29" s="3">
        <f>IF(A29&lt;=15,MROUND(M29/'VARIABLES MODELO'!$B$11,0.5),MROUND(M29/'VARIABLES MODELO'!$B$12,0.5))</f>
        <v>2</v>
      </c>
      <c r="O29" s="3">
        <f>IF(A29&lt;=15,SUM($M$4:M29)/'VARIABLES MODELO'!$B$11,SUM($M$19:M29)/'VARIABLES MODELO'!$B$12)</f>
        <v>22</v>
      </c>
    </row>
    <row r="30" spans="1:15" x14ac:dyDescent="0.45">
      <c r="A30">
        <v>27</v>
      </c>
      <c r="B30" s="50">
        <f>'VARIABLES MODELO'!$B$4+A30-1</f>
        <v>46311</v>
      </c>
      <c r="C30" t="str">
        <f t="shared" si="0"/>
        <v>Precoz 19%</v>
      </c>
      <c r="D30" s="3">
        <f t="shared" si="5"/>
        <v>58.449999999999967</v>
      </c>
      <c r="E30" s="3">
        <f>PRECOZ!C17</f>
        <v>0.4</v>
      </c>
      <c r="F30" s="77">
        <f>IF(A30&lt;=5,'VARIABLES MODELO'!$B$13,IF(A30&lt;=15,'VARIABLES MODELO'!$B$14,IF(A30&lt;=50,'VARIABLES MODELO'!$B$15,IF(A30&lt;=80,'VARIABLES MODELO'!$B$16,IF(A30&lt;=120,'VARIABLES MODELO'!$B$17,'VARIABLES MODELO'!$B$18)))))</f>
        <v>3.2000000000000001E-2</v>
      </c>
      <c r="G30" s="5">
        <f t="shared" si="1"/>
        <v>1.870399999999999</v>
      </c>
      <c r="H30" s="78"/>
      <c r="I30" s="5">
        <f t="shared" si="2"/>
        <v>1.870399999999999</v>
      </c>
      <c r="J30" s="51">
        <f>IF(A30&lt;=15,'VARIABLES MODELO'!$B$8,'VARIABLES MODELO'!$B$10)</f>
        <v>509.36</v>
      </c>
      <c r="K30" s="51">
        <f t="shared" si="3"/>
        <v>952.70694399999945</v>
      </c>
      <c r="L30" s="51">
        <f>SUM($K$4:K30)</f>
        <v>31592.575085999997</v>
      </c>
      <c r="M30" s="3">
        <f>MROUND(I30*'VARIABLES MODELO'!$B$5,30)</f>
        <v>60</v>
      </c>
      <c r="N30" s="3">
        <f>IF(A30&lt;=15,MROUND(M30/'VARIABLES MODELO'!$B$11,0.5),MROUND(M30/'VARIABLES MODELO'!$B$12,0.5))</f>
        <v>2</v>
      </c>
      <c r="O30" s="3">
        <f>IF(A30&lt;=15,SUM($M$4:M30)/'VARIABLES MODELO'!$B$11,SUM($M$19:M30)/'VARIABLES MODELO'!$B$12)</f>
        <v>24</v>
      </c>
    </row>
    <row r="31" spans="1:15" x14ac:dyDescent="0.45">
      <c r="A31">
        <v>28</v>
      </c>
      <c r="B31" s="50">
        <f>'VARIABLES MODELO'!$B$4+A31-1</f>
        <v>46312</v>
      </c>
      <c r="C31" t="str">
        <f t="shared" si="0"/>
        <v>Precoz 19%</v>
      </c>
      <c r="D31" s="3">
        <f t="shared" si="5"/>
        <v>58.849999999999966</v>
      </c>
      <c r="E31" s="3">
        <f>PRECOZ!C18</f>
        <v>0.4</v>
      </c>
      <c r="F31" s="77">
        <f>IF(A31&lt;=5,'VARIABLES MODELO'!$B$13,IF(A31&lt;=15,'VARIABLES MODELO'!$B$14,IF(A31&lt;=50,'VARIABLES MODELO'!$B$15,IF(A31&lt;=80,'VARIABLES MODELO'!$B$16,IF(A31&lt;=120,'VARIABLES MODELO'!$B$17,'VARIABLES MODELO'!$B$18)))))</f>
        <v>3.2000000000000001E-2</v>
      </c>
      <c r="G31" s="5">
        <f t="shared" si="1"/>
        <v>1.8831999999999989</v>
      </c>
      <c r="H31" s="78"/>
      <c r="I31" s="5">
        <f t="shared" si="2"/>
        <v>1.8831999999999989</v>
      </c>
      <c r="J31" s="51">
        <f>IF(A31&lt;=15,'VARIABLES MODELO'!$B$8,'VARIABLES MODELO'!$B$10)</f>
        <v>509.36</v>
      </c>
      <c r="K31" s="51">
        <f t="shared" si="3"/>
        <v>959.22675199999946</v>
      </c>
      <c r="L31" s="51">
        <f>SUM($K$4:K31)</f>
        <v>32551.801837999996</v>
      </c>
      <c r="M31" s="3">
        <f>MROUND(I31*'VARIABLES MODELO'!$B$5,30)</f>
        <v>60</v>
      </c>
      <c r="N31" s="3">
        <f>IF(A31&lt;=15,MROUND(M31/'VARIABLES MODELO'!$B$11,0.5),MROUND(M31/'VARIABLES MODELO'!$B$12,0.5))</f>
        <v>2</v>
      </c>
      <c r="O31" s="3">
        <f>IF(A31&lt;=15,SUM($M$4:M31)/'VARIABLES MODELO'!$B$11,SUM($M$19:M31)/'VARIABLES MODELO'!$B$12)</f>
        <v>26</v>
      </c>
    </row>
    <row r="32" spans="1:15" x14ac:dyDescent="0.45">
      <c r="A32">
        <v>29</v>
      </c>
      <c r="B32" s="50">
        <f>'VARIABLES MODELO'!$B$4+A32-1</f>
        <v>46313</v>
      </c>
      <c r="C32" t="str">
        <f t="shared" si="0"/>
        <v>Precoz 19%</v>
      </c>
      <c r="D32" s="3">
        <f t="shared" si="5"/>
        <v>59.249999999999964</v>
      </c>
      <c r="E32" s="3">
        <f>PRECOZ!C19</f>
        <v>0.4</v>
      </c>
      <c r="F32" s="77">
        <f>IF(A32&lt;=5,'VARIABLES MODELO'!$B$13,IF(A32&lt;=15,'VARIABLES MODELO'!$B$14,IF(A32&lt;=50,'VARIABLES MODELO'!$B$15,IF(A32&lt;=80,'VARIABLES MODELO'!$B$16,IF(A32&lt;=120,'VARIABLES MODELO'!$B$17,'VARIABLES MODELO'!$B$18)))))</f>
        <v>3.2000000000000001E-2</v>
      </c>
      <c r="G32" s="5">
        <f t="shared" si="1"/>
        <v>1.8959999999999988</v>
      </c>
      <c r="H32" s="78"/>
      <c r="I32" s="5">
        <f t="shared" si="2"/>
        <v>1.8959999999999988</v>
      </c>
      <c r="J32" s="51">
        <f>IF(A32&lt;=15,'VARIABLES MODELO'!$B$8,'VARIABLES MODELO'!$B$10)</f>
        <v>509.36</v>
      </c>
      <c r="K32" s="51">
        <f t="shared" si="3"/>
        <v>965.74655999999936</v>
      </c>
      <c r="L32" s="51">
        <f>SUM($K$4:K32)</f>
        <v>33517.548397999992</v>
      </c>
      <c r="M32" s="3">
        <f>MROUND(I32*'VARIABLES MODELO'!$B$5,30)</f>
        <v>60</v>
      </c>
      <c r="N32" s="3">
        <f>IF(A32&lt;=15,MROUND(M32/'VARIABLES MODELO'!$B$11,0.5),MROUND(M32/'VARIABLES MODELO'!$B$12,0.5))</f>
        <v>2</v>
      </c>
      <c r="O32" s="3">
        <f>IF(A32&lt;=15,SUM($M$4:M32)/'VARIABLES MODELO'!$B$11,SUM($M$19:M32)/'VARIABLES MODELO'!$B$12)</f>
        <v>28</v>
      </c>
    </row>
    <row r="33" spans="1:15" x14ac:dyDescent="0.45">
      <c r="A33">
        <v>30</v>
      </c>
      <c r="B33" s="50">
        <f>'VARIABLES MODELO'!$B$4+A33-1</f>
        <v>46314</v>
      </c>
      <c r="C33" t="str">
        <f t="shared" si="0"/>
        <v>Precoz 19%</v>
      </c>
      <c r="D33" s="3">
        <f t="shared" si="5"/>
        <v>59.649999999999963</v>
      </c>
      <c r="E33" s="3">
        <f>PRECOZ!C20</f>
        <v>0.4</v>
      </c>
      <c r="F33" s="77">
        <f>IF(A33&lt;=5,'VARIABLES MODELO'!$B$13,IF(A33&lt;=15,'VARIABLES MODELO'!$B$14,IF(A33&lt;=50,'VARIABLES MODELO'!$B$15,IF(A33&lt;=80,'VARIABLES MODELO'!$B$16,IF(A33&lt;=120,'VARIABLES MODELO'!$B$17,'VARIABLES MODELO'!$B$18)))))</f>
        <v>3.2000000000000001E-2</v>
      </c>
      <c r="G33" s="5">
        <f t="shared" si="1"/>
        <v>1.9087999999999989</v>
      </c>
      <c r="H33" s="78"/>
      <c r="I33" s="5">
        <f t="shared" si="2"/>
        <v>1.9087999999999989</v>
      </c>
      <c r="J33" s="51">
        <f>IF(A33&lt;=15,'VARIABLES MODELO'!$B$8,'VARIABLES MODELO'!$B$10)</f>
        <v>509.36</v>
      </c>
      <c r="K33" s="51">
        <f t="shared" si="3"/>
        <v>972.26636799999949</v>
      </c>
      <c r="L33" s="51">
        <f>SUM($K$4:K33)</f>
        <v>34489.814765999989</v>
      </c>
      <c r="M33" s="3">
        <f>MROUND(I33*'VARIABLES MODELO'!$B$5,30)</f>
        <v>60</v>
      </c>
      <c r="N33" s="3">
        <f>IF(A33&lt;=15,MROUND(M33/'VARIABLES MODELO'!$B$11,0.5),MROUND(M33/'VARIABLES MODELO'!$B$12,0.5))</f>
        <v>2</v>
      </c>
      <c r="O33" s="3">
        <f>IF(A33&lt;=15,SUM($M$4:M33)/'VARIABLES MODELO'!$B$11,SUM($M$19:M33)/'VARIABLES MODELO'!$B$12)</f>
        <v>30</v>
      </c>
    </row>
    <row r="34" spans="1:15" x14ac:dyDescent="0.45">
      <c r="A34">
        <v>31</v>
      </c>
      <c r="B34" s="50">
        <f>'VARIABLES MODELO'!$B$4+A34-1</f>
        <v>46315</v>
      </c>
      <c r="C34" t="str">
        <f t="shared" si="0"/>
        <v>Precoz 19%</v>
      </c>
      <c r="D34" s="3">
        <f t="shared" si="5"/>
        <v>60.049999999999962</v>
      </c>
      <c r="E34" s="3">
        <f>PRECOZ!C21</f>
        <v>0.4</v>
      </c>
      <c r="F34" s="77">
        <f>IF(A34&lt;=5,'VARIABLES MODELO'!$B$13,IF(A34&lt;=15,'VARIABLES MODELO'!$B$14,IF(A34&lt;=50,'VARIABLES MODELO'!$B$15,IF(A34&lt;=80,'VARIABLES MODELO'!$B$16,IF(A34&lt;=120,'VARIABLES MODELO'!$B$17,'VARIABLES MODELO'!$B$18)))))</f>
        <v>3.2000000000000001E-2</v>
      </c>
      <c r="G34" s="5">
        <f t="shared" si="1"/>
        <v>1.9215999999999989</v>
      </c>
      <c r="H34" s="78"/>
      <c r="I34" s="5">
        <f t="shared" si="2"/>
        <v>1.9215999999999989</v>
      </c>
      <c r="J34" s="51">
        <f>IF(A34&lt;=15,'VARIABLES MODELO'!$B$8,'VARIABLES MODELO'!$B$10)</f>
        <v>509.36</v>
      </c>
      <c r="K34" s="51">
        <f t="shared" si="3"/>
        <v>978.7861759999995</v>
      </c>
      <c r="L34" s="51">
        <f>SUM($K$4:K34)</f>
        <v>35468.60094199999</v>
      </c>
      <c r="M34" s="3">
        <f>MROUND(I34*'VARIABLES MODELO'!$B$5,30)</f>
        <v>60</v>
      </c>
      <c r="N34" s="3">
        <f>IF(A34&lt;=15,MROUND(M34/'VARIABLES MODELO'!$B$11,0.5),MROUND(M34/'VARIABLES MODELO'!$B$12,0.5))</f>
        <v>2</v>
      </c>
      <c r="O34" s="3">
        <f>IF(A34&lt;=15,SUM($M$4:M34)/'VARIABLES MODELO'!$B$11,SUM($M$19:M34)/'VARIABLES MODELO'!$B$12)</f>
        <v>32</v>
      </c>
    </row>
    <row r="35" spans="1:15" x14ac:dyDescent="0.45">
      <c r="A35">
        <v>32</v>
      </c>
      <c r="B35" s="50">
        <f>'VARIABLES MODELO'!$B$4+A35-1</f>
        <v>46316</v>
      </c>
      <c r="C35" t="str">
        <f t="shared" si="0"/>
        <v>Precoz 19%</v>
      </c>
      <c r="D35" s="3">
        <f t="shared" si="5"/>
        <v>60.44999999999996</v>
      </c>
      <c r="E35" s="3">
        <f>PRECOZ!C22</f>
        <v>0.4</v>
      </c>
      <c r="F35" s="77">
        <f>IF(A35&lt;=5,'VARIABLES MODELO'!$B$13,IF(A35&lt;=15,'VARIABLES MODELO'!$B$14,IF(A35&lt;=50,'VARIABLES MODELO'!$B$15,IF(A35&lt;=80,'VARIABLES MODELO'!$B$16,IF(A35&lt;=120,'VARIABLES MODELO'!$B$17,'VARIABLES MODELO'!$B$18)))))</f>
        <v>3.2000000000000001E-2</v>
      </c>
      <c r="G35" s="5">
        <f t="shared" si="1"/>
        <v>1.9343999999999988</v>
      </c>
      <c r="H35" s="78"/>
      <c r="I35" s="5">
        <f t="shared" si="2"/>
        <v>1.9343999999999988</v>
      </c>
      <c r="J35" s="51">
        <f>IF(A35&lt;=15,'VARIABLES MODELO'!$B$8,'VARIABLES MODELO'!$B$10)</f>
        <v>509.36</v>
      </c>
      <c r="K35" s="51">
        <f t="shared" si="3"/>
        <v>985.3059839999994</v>
      </c>
      <c r="L35" s="51">
        <f>SUM($K$4:K35)</f>
        <v>36453.906925999989</v>
      </c>
      <c r="M35" s="3">
        <f>MROUND(I35*'VARIABLES MODELO'!$B$5,30)</f>
        <v>60</v>
      </c>
      <c r="N35" s="3">
        <f>IF(A35&lt;=15,MROUND(M35/'VARIABLES MODELO'!$B$11,0.5),MROUND(M35/'VARIABLES MODELO'!$B$12,0.5))</f>
        <v>2</v>
      </c>
      <c r="O35" s="3">
        <f>IF(A35&lt;=15,SUM($M$4:M35)/'VARIABLES MODELO'!$B$11,SUM($M$19:M35)/'VARIABLES MODELO'!$B$12)</f>
        <v>34</v>
      </c>
    </row>
    <row r="36" spans="1:15" x14ac:dyDescent="0.45">
      <c r="A36">
        <v>33</v>
      </c>
      <c r="B36" s="50">
        <f>'VARIABLES MODELO'!$B$4+A36-1</f>
        <v>46317</v>
      </c>
      <c r="C36" t="str">
        <f t="shared" ref="C36:C67" si="6">IF(A36&lt;=15,"Hiper-Precoz 23%","Precoz 19%")</f>
        <v>Precoz 19%</v>
      </c>
      <c r="D36" s="3">
        <f t="shared" si="5"/>
        <v>60.849999999999959</v>
      </c>
      <c r="E36" s="3">
        <f>PRECOZ!C23</f>
        <v>0.4</v>
      </c>
      <c r="F36" s="77">
        <f>IF(A36&lt;=5,'VARIABLES MODELO'!$B$13,IF(A36&lt;=15,'VARIABLES MODELO'!$B$14,IF(A36&lt;=50,'VARIABLES MODELO'!$B$15,IF(A36&lt;=80,'VARIABLES MODELO'!$B$16,IF(A36&lt;=120,'VARIABLES MODELO'!$B$17,'VARIABLES MODELO'!$B$18)))))</f>
        <v>3.2000000000000001E-2</v>
      </c>
      <c r="G36" s="5">
        <f t="shared" ref="G36:G67" si="7">D36*F36</f>
        <v>1.9471999999999987</v>
      </c>
      <c r="H36" s="78"/>
      <c r="I36" s="5">
        <f t="shared" ref="I36:I67" si="8">IF(H36="",G36,H36)</f>
        <v>1.9471999999999987</v>
      </c>
      <c r="J36" s="51">
        <f>IF(A36&lt;=15,'VARIABLES MODELO'!$B$8,'VARIABLES MODELO'!$B$10)</f>
        <v>509.36</v>
      </c>
      <c r="K36" s="51">
        <f t="shared" ref="K36:K67" si="9">I36*J36</f>
        <v>991.82579199999941</v>
      </c>
      <c r="L36" s="51">
        <f>SUM($K$4:K36)</f>
        <v>37445.732717999985</v>
      </c>
      <c r="M36" s="3">
        <f>MROUND(I36*'VARIABLES MODELO'!$B$5,30)</f>
        <v>60</v>
      </c>
      <c r="N36" s="3">
        <f>IF(A36&lt;=15,MROUND(M36/'VARIABLES MODELO'!$B$11,0.5),MROUND(M36/'VARIABLES MODELO'!$B$12,0.5))</f>
        <v>2</v>
      </c>
      <c r="O36" s="3">
        <f>IF(A36&lt;=15,SUM($M$4:M36)/'VARIABLES MODELO'!$B$11,SUM($M$19:M36)/'VARIABLES MODELO'!$B$12)</f>
        <v>36</v>
      </c>
    </row>
    <row r="37" spans="1:15" x14ac:dyDescent="0.45">
      <c r="A37">
        <v>34</v>
      </c>
      <c r="B37" s="50">
        <f>'VARIABLES MODELO'!$B$4+A37-1</f>
        <v>46318</v>
      </c>
      <c r="C37" t="str">
        <f t="shared" si="6"/>
        <v>Precoz 19%</v>
      </c>
      <c r="D37" s="3">
        <f t="shared" si="5"/>
        <v>61.249999999999957</v>
      </c>
      <c r="E37" s="3">
        <f>PRECOZ!C24</f>
        <v>0.4</v>
      </c>
      <c r="F37" s="77">
        <f>IF(A37&lt;=5,'VARIABLES MODELO'!$B$13,IF(A37&lt;=15,'VARIABLES MODELO'!$B$14,IF(A37&lt;=50,'VARIABLES MODELO'!$B$15,IF(A37&lt;=80,'VARIABLES MODELO'!$B$16,IF(A37&lt;=120,'VARIABLES MODELO'!$B$17,'VARIABLES MODELO'!$B$18)))))</f>
        <v>3.2000000000000001E-2</v>
      </c>
      <c r="G37" s="5">
        <f t="shared" si="7"/>
        <v>1.9599999999999986</v>
      </c>
      <c r="H37" s="78"/>
      <c r="I37" s="5">
        <f t="shared" si="8"/>
        <v>1.9599999999999986</v>
      </c>
      <c r="J37" s="51">
        <f>IF(A37&lt;=15,'VARIABLES MODELO'!$B$8,'VARIABLES MODELO'!$B$10)</f>
        <v>509.36</v>
      </c>
      <c r="K37" s="51">
        <f t="shared" si="9"/>
        <v>998.34559999999931</v>
      </c>
      <c r="L37" s="51">
        <f>SUM($K$4:K37)</f>
        <v>38444.078317999985</v>
      </c>
      <c r="M37" s="3">
        <f>MROUND(I37*'VARIABLES MODELO'!$B$5,30)</f>
        <v>60</v>
      </c>
      <c r="N37" s="3">
        <f>IF(A37&lt;=15,MROUND(M37/'VARIABLES MODELO'!$B$11,0.5),MROUND(M37/'VARIABLES MODELO'!$B$12,0.5))</f>
        <v>2</v>
      </c>
      <c r="O37" s="3">
        <f>IF(A37&lt;=15,SUM($M$4:M37)/'VARIABLES MODELO'!$B$11,SUM($M$19:M37)/'VARIABLES MODELO'!$B$12)</f>
        <v>38</v>
      </c>
    </row>
    <row r="38" spans="1:15" x14ac:dyDescent="0.45">
      <c r="A38">
        <v>35</v>
      </c>
      <c r="B38" s="50">
        <f>'VARIABLES MODELO'!$B$4+A38-1</f>
        <v>46319</v>
      </c>
      <c r="C38" t="str">
        <f t="shared" si="6"/>
        <v>Precoz 19%</v>
      </c>
      <c r="D38" s="3">
        <f t="shared" si="5"/>
        <v>61.649999999999956</v>
      </c>
      <c r="E38" s="3">
        <f>PRECOZ!C25</f>
        <v>0.4</v>
      </c>
      <c r="F38" s="77">
        <f>IF(A38&lt;=5,'VARIABLES MODELO'!$B$13,IF(A38&lt;=15,'VARIABLES MODELO'!$B$14,IF(A38&lt;=50,'VARIABLES MODELO'!$B$15,IF(A38&lt;=80,'VARIABLES MODELO'!$B$16,IF(A38&lt;=120,'VARIABLES MODELO'!$B$17,'VARIABLES MODELO'!$B$18)))))</f>
        <v>3.2000000000000001E-2</v>
      </c>
      <c r="G38" s="5">
        <f t="shared" si="7"/>
        <v>1.9727999999999986</v>
      </c>
      <c r="H38" s="78"/>
      <c r="I38" s="5">
        <f t="shared" si="8"/>
        <v>1.9727999999999986</v>
      </c>
      <c r="J38" s="51">
        <f>IF(A38&lt;=15,'VARIABLES MODELO'!$B$8,'VARIABLES MODELO'!$B$10)</f>
        <v>509.36</v>
      </c>
      <c r="K38" s="51">
        <f t="shared" si="9"/>
        <v>1004.8654079999993</v>
      </c>
      <c r="L38" s="51">
        <f>SUM($K$4:K38)</f>
        <v>39448.943725999983</v>
      </c>
      <c r="M38" s="3">
        <f>MROUND(I38*'VARIABLES MODELO'!$B$5,30)</f>
        <v>60</v>
      </c>
      <c r="N38" s="3">
        <f>IF(A38&lt;=15,MROUND(M38/'VARIABLES MODELO'!$B$11,0.5),MROUND(M38/'VARIABLES MODELO'!$B$12,0.5))</f>
        <v>2</v>
      </c>
      <c r="O38" s="3">
        <f>IF(A38&lt;=15,SUM($M$4:M38)/'VARIABLES MODELO'!$B$11,SUM($M$19:M38)/'VARIABLES MODELO'!$B$12)</f>
        <v>40</v>
      </c>
    </row>
    <row r="39" spans="1:15" x14ac:dyDescent="0.45">
      <c r="A39">
        <v>36</v>
      </c>
      <c r="B39" s="50">
        <f>'VARIABLES MODELO'!$B$4+A39-1</f>
        <v>46320</v>
      </c>
      <c r="C39" t="str">
        <f t="shared" si="6"/>
        <v>Precoz 19%</v>
      </c>
      <c r="D39" s="3">
        <f t="shared" si="5"/>
        <v>62.049999999999955</v>
      </c>
      <c r="E39" s="3">
        <f>PRECOZ!C26</f>
        <v>0.4</v>
      </c>
      <c r="F39" s="77">
        <f>IF(A39&lt;=5,'VARIABLES MODELO'!$B$13,IF(A39&lt;=15,'VARIABLES MODELO'!$B$14,IF(A39&lt;=50,'VARIABLES MODELO'!$B$15,IF(A39&lt;=80,'VARIABLES MODELO'!$B$16,IF(A39&lt;=120,'VARIABLES MODELO'!$B$17,'VARIABLES MODELO'!$B$18)))))</f>
        <v>3.2000000000000001E-2</v>
      </c>
      <c r="G39" s="5">
        <f t="shared" si="7"/>
        <v>1.9855999999999985</v>
      </c>
      <c r="H39" s="78"/>
      <c r="I39" s="5">
        <f t="shared" si="8"/>
        <v>1.9855999999999985</v>
      </c>
      <c r="J39" s="51">
        <f>IF(A39&lt;=15,'VARIABLES MODELO'!$B$8,'VARIABLES MODELO'!$B$10)</f>
        <v>509.36</v>
      </c>
      <c r="K39" s="51">
        <f t="shared" si="9"/>
        <v>1011.3852159999992</v>
      </c>
      <c r="L39" s="51">
        <f>SUM($K$4:K39)</f>
        <v>40460.328941999986</v>
      </c>
      <c r="M39" s="3">
        <f>MROUND(I39*'VARIABLES MODELO'!$B$5,30)</f>
        <v>60</v>
      </c>
      <c r="N39" s="3">
        <f>IF(A39&lt;=15,MROUND(M39/'VARIABLES MODELO'!$B$11,0.5),MROUND(M39/'VARIABLES MODELO'!$B$12,0.5))</f>
        <v>2</v>
      </c>
      <c r="O39" s="3">
        <f>IF(A39&lt;=15,SUM($M$4:M39)/'VARIABLES MODELO'!$B$11,SUM($M$19:M39)/'VARIABLES MODELO'!$B$12)</f>
        <v>42</v>
      </c>
    </row>
    <row r="40" spans="1:15" x14ac:dyDescent="0.45">
      <c r="A40">
        <v>37</v>
      </c>
      <c r="B40" s="50">
        <f>'VARIABLES MODELO'!$B$4+A40-1</f>
        <v>46321</v>
      </c>
      <c r="C40" t="str">
        <f t="shared" si="6"/>
        <v>Precoz 19%</v>
      </c>
      <c r="D40" s="3">
        <f t="shared" si="5"/>
        <v>62.449999999999953</v>
      </c>
      <c r="E40" s="3">
        <f>PRECOZ!C27</f>
        <v>0.4</v>
      </c>
      <c r="F40" s="77">
        <f>IF(A40&lt;=5,'VARIABLES MODELO'!$B$13,IF(A40&lt;=15,'VARIABLES MODELO'!$B$14,IF(A40&lt;=50,'VARIABLES MODELO'!$B$15,IF(A40&lt;=80,'VARIABLES MODELO'!$B$16,IF(A40&lt;=120,'VARIABLES MODELO'!$B$17,'VARIABLES MODELO'!$B$18)))))</f>
        <v>3.2000000000000001E-2</v>
      </c>
      <c r="G40" s="5">
        <f t="shared" si="7"/>
        <v>1.9983999999999986</v>
      </c>
      <c r="H40" s="78"/>
      <c r="I40" s="5">
        <f t="shared" si="8"/>
        <v>1.9983999999999986</v>
      </c>
      <c r="J40" s="51">
        <f>IF(A40&lt;=15,'VARIABLES MODELO'!$B$8,'VARIABLES MODELO'!$B$10)</f>
        <v>509.36</v>
      </c>
      <c r="K40" s="51">
        <f t="shared" si="9"/>
        <v>1017.9050239999993</v>
      </c>
      <c r="L40" s="51">
        <f>SUM($K$4:K40)</f>
        <v>41478.233965999985</v>
      </c>
      <c r="M40" s="3">
        <f>MROUND(I40*'VARIABLES MODELO'!$B$5,30)</f>
        <v>60</v>
      </c>
      <c r="N40" s="3">
        <f>IF(A40&lt;=15,MROUND(M40/'VARIABLES MODELO'!$B$11,0.5),MROUND(M40/'VARIABLES MODELO'!$B$12,0.5))</f>
        <v>2</v>
      </c>
      <c r="O40" s="3">
        <f>IF(A40&lt;=15,SUM($M$4:M40)/'VARIABLES MODELO'!$B$11,SUM($M$19:M40)/'VARIABLES MODELO'!$B$12)</f>
        <v>44</v>
      </c>
    </row>
    <row r="41" spans="1:15" x14ac:dyDescent="0.45">
      <c r="A41">
        <v>38</v>
      </c>
      <c r="B41" s="50">
        <f>'VARIABLES MODELO'!$B$4+A41-1</f>
        <v>46322</v>
      </c>
      <c r="C41" t="str">
        <f t="shared" si="6"/>
        <v>Precoz 19%</v>
      </c>
      <c r="D41" s="3">
        <f t="shared" si="5"/>
        <v>62.849999999999952</v>
      </c>
      <c r="E41" s="3">
        <f>PRECOZ!C28</f>
        <v>0.4</v>
      </c>
      <c r="F41" s="77">
        <f>IF(A41&lt;=5,'VARIABLES MODELO'!$B$13,IF(A41&lt;=15,'VARIABLES MODELO'!$B$14,IF(A41&lt;=50,'VARIABLES MODELO'!$B$15,IF(A41&lt;=80,'VARIABLES MODELO'!$B$16,IF(A41&lt;=120,'VARIABLES MODELO'!$B$17,'VARIABLES MODELO'!$B$18)))))</f>
        <v>3.2000000000000001E-2</v>
      </c>
      <c r="G41" s="5">
        <f t="shared" si="7"/>
        <v>2.0111999999999983</v>
      </c>
      <c r="H41" s="78"/>
      <c r="I41" s="5">
        <f t="shared" si="8"/>
        <v>2.0111999999999983</v>
      </c>
      <c r="J41" s="51">
        <f>IF(A41&lt;=15,'VARIABLES MODELO'!$B$8,'VARIABLES MODELO'!$B$10)</f>
        <v>509.36</v>
      </c>
      <c r="K41" s="51">
        <f t="shared" si="9"/>
        <v>1024.4248319999992</v>
      </c>
      <c r="L41" s="51">
        <f>SUM($K$4:K41)</f>
        <v>42502.658797999982</v>
      </c>
      <c r="M41" s="3">
        <f>MROUND(I41*'VARIABLES MODELO'!$B$5,30)</f>
        <v>60</v>
      </c>
      <c r="N41" s="3">
        <f>IF(A41&lt;=15,MROUND(M41/'VARIABLES MODELO'!$B$11,0.5),MROUND(M41/'VARIABLES MODELO'!$B$12,0.5))</f>
        <v>2</v>
      </c>
      <c r="O41" s="3">
        <f>IF(A41&lt;=15,SUM($M$4:M41)/'VARIABLES MODELO'!$B$11,SUM($M$19:M41)/'VARIABLES MODELO'!$B$12)</f>
        <v>46</v>
      </c>
    </row>
    <row r="42" spans="1:15" x14ac:dyDescent="0.45">
      <c r="A42">
        <v>39</v>
      </c>
      <c r="B42" s="50">
        <f>'VARIABLES MODELO'!$B$4+A42-1</f>
        <v>46323</v>
      </c>
      <c r="C42" t="str">
        <f t="shared" si="6"/>
        <v>Precoz 19%</v>
      </c>
      <c r="D42" s="3">
        <f t="shared" si="5"/>
        <v>63.24999999999995</v>
      </c>
      <c r="E42" s="3">
        <f>PRECOZ!C29</f>
        <v>0.4</v>
      </c>
      <c r="F42" s="77">
        <f>IF(A42&lt;=5,'VARIABLES MODELO'!$B$13,IF(A42&lt;=15,'VARIABLES MODELO'!$B$14,IF(A42&lt;=50,'VARIABLES MODELO'!$B$15,IF(A42&lt;=80,'VARIABLES MODELO'!$B$16,IF(A42&lt;=120,'VARIABLES MODELO'!$B$17,'VARIABLES MODELO'!$B$18)))))</f>
        <v>3.2000000000000001E-2</v>
      </c>
      <c r="G42" s="5">
        <f t="shared" si="7"/>
        <v>2.0239999999999982</v>
      </c>
      <c r="H42" s="78"/>
      <c r="I42" s="5">
        <f t="shared" si="8"/>
        <v>2.0239999999999982</v>
      </c>
      <c r="J42" s="51">
        <f>IF(A42&lt;=15,'VARIABLES MODELO'!$B$8,'VARIABLES MODELO'!$B$10)</f>
        <v>509.36</v>
      </c>
      <c r="K42" s="51">
        <f t="shared" si="9"/>
        <v>1030.944639999999</v>
      </c>
      <c r="L42" s="51">
        <f>SUM($K$4:K42)</f>
        <v>43533.603437999984</v>
      </c>
      <c r="M42" s="3">
        <f>MROUND(I42*'VARIABLES MODELO'!$B$5,30)</f>
        <v>60</v>
      </c>
      <c r="N42" s="3">
        <f>IF(A42&lt;=15,MROUND(M42/'VARIABLES MODELO'!$B$11,0.5),MROUND(M42/'VARIABLES MODELO'!$B$12,0.5))</f>
        <v>2</v>
      </c>
      <c r="O42" s="3">
        <f>IF(A42&lt;=15,SUM($M$4:M42)/'VARIABLES MODELO'!$B$11,SUM($M$19:M42)/'VARIABLES MODELO'!$B$12)</f>
        <v>48</v>
      </c>
    </row>
    <row r="43" spans="1:15" x14ac:dyDescent="0.45">
      <c r="A43">
        <v>40</v>
      </c>
      <c r="B43" s="50">
        <f>'VARIABLES MODELO'!$B$4+A43-1</f>
        <v>46324</v>
      </c>
      <c r="C43" t="str">
        <f t="shared" si="6"/>
        <v>Precoz 19%</v>
      </c>
      <c r="D43" s="3">
        <f t="shared" si="5"/>
        <v>63.649999999999949</v>
      </c>
      <c r="E43" s="3">
        <f>PRECOZ!C30</f>
        <v>0.4</v>
      </c>
      <c r="F43" s="77">
        <f>IF(A43&lt;=5,'VARIABLES MODELO'!$B$13,IF(A43&lt;=15,'VARIABLES MODELO'!$B$14,IF(A43&lt;=50,'VARIABLES MODELO'!$B$15,IF(A43&lt;=80,'VARIABLES MODELO'!$B$16,IF(A43&lt;=120,'VARIABLES MODELO'!$B$17,'VARIABLES MODELO'!$B$18)))))</f>
        <v>3.2000000000000001E-2</v>
      </c>
      <c r="G43" s="5">
        <f t="shared" si="7"/>
        <v>2.0367999999999986</v>
      </c>
      <c r="H43" s="78"/>
      <c r="I43" s="5">
        <f t="shared" si="8"/>
        <v>2.0367999999999986</v>
      </c>
      <c r="J43" s="51">
        <f>IF(A43&lt;=15,'VARIABLES MODELO'!$B$8,'VARIABLES MODELO'!$B$10)</f>
        <v>509.36</v>
      </c>
      <c r="K43" s="51">
        <f t="shared" si="9"/>
        <v>1037.4644479999993</v>
      </c>
      <c r="L43" s="51">
        <f>SUM($K$4:K43)</f>
        <v>44571.067885999983</v>
      </c>
      <c r="M43" s="3">
        <f>MROUND(I43*'VARIABLES MODELO'!$B$5,30)</f>
        <v>60</v>
      </c>
      <c r="N43" s="3">
        <f>IF(A43&lt;=15,MROUND(M43/'VARIABLES MODELO'!$B$11,0.5),MROUND(M43/'VARIABLES MODELO'!$B$12,0.5))</f>
        <v>2</v>
      </c>
      <c r="O43" s="3">
        <f>IF(A43&lt;=15,SUM($M$4:M43)/'VARIABLES MODELO'!$B$11,SUM($M$19:M43)/'VARIABLES MODELO'!$B$12)</f>
        <v>50</v>
      </c>
    </row>
    <row r="44" spans="1:15" x14ac:dyDescent="0.45">
      <c r="A44">
        <v>41</v>
      </c>
      <c r="B44" s="50">
        <f>'VARIABLES MODELO'!$B$4+A44-1</f>
        <v>46325</v>
      </c>
      <c r="C44" t="str">
        <f t="shared" si="6"/>
        <v>Precoz 19%</v>
      </c>
      <c r="D44" s="3">
        <f t="shared" si="5"/>
        <v>64.049999999999955</v>
      </c>
      <c r="E44" s="3">
        <f>PRECOZ!C31</f>
        <v>0.45</v>
      </c>
      <c r="F44" s="77">
        <f>IF(A44&lt;=5,'VARIABLES MODELO'!$B$13,IF(A44&lt;=15,'VARIABLES MODELO'!$B$14,IF(A44&lt;=50,'VARIABLES MODELO'!$B$15,IF(A44&lt;=80,'VARIABLES MODELO'!$B$16,IF(A44&lt;=120,'VARIABLES MODELO'!$B$17,'VARIABLES MODELO'!$B$18)))))</f>
        <v>3.2000000000000001E-2</v>
      </c>
      <c r="G44" s="5">
        <f t="shared" si="7"/>
        <v>2.0495999999999985</v>
      </c>
      <c r="H44" s="78"/>
      <c r="I44" s="5">
        <f t="shared" si="8"/>
        <v>2.0495999999999985</v>
      </c>
      <c r="J44" s="51">
        <f>IF(A44&lt;=15,'VARIABLES MODELO'!$B$8,'VARIABLES MODELO'!$B$10)</f>
        <v>509.36</v>
      </c>
      <c r="K44" s="51">
        <f t="shared" si="9"/>
        <v>1043.9842559999993</v>
      </c>
      <c r="L44" s="51">
        <f>SUM($K$4:K44)</f>
        <v>45615.052141999979</v>
      </c>
      <c r="M44" s="3">
        <f>MROUND(I44*'VARIABLES MODELO'!$B$5,30)</f>
        <v>60</v>
      </c>
      <c r="N44" s="3">
        <f>IF(A44&lt;=15,MROUND(M44/'VARIABLES MODELO'!$B$11,0.5),MROUND(M44/'VARIABLES MODELO'!$B$12,0.5))</f>
        <v>2</v>
      </c>
      <c r="O44" s="3">
        <f>IF(A44&lt;=15,SUM($M$4:M44)/'VARIABLES MODELO'!$B$11,SUM($M$19:M44)/'VARIABLES MODELO'!$B$12)</f>
        <v>52</v>
      </c>
    </row>
    <row r="45" spans="1:15" x14ac:dyDescent="0.45">
      <c r="A45">
        <v>42</v>
      </c>
      <c r="B45" s="50">
        <f>'VARIABLES MODELO'!$B$4+A45-1</f>
        <v>46326</v>
      </c>
      <c r="C45" t="str">
        <f t="shared" si="6"/>
        <v>Precoz 19%</v>
      </c>
      <c r="D45" s="3">
        <f t="shared" si="5"/>
        <v>64.499999999999957</v>
      </c>
      <c r="E45" s="3">
        <f>PRECOZ!C32</f>
        <v>0.45</v>
      </c>
      <c r="F45" s="77">
        <f>IF(A45&lt;=5,'VARIABLES MODELO'!$B$13,IF(A45&lt;=15,'VARIABLES MODELO'!$B$14,IF(A45&lt;=50,'VARIABLES MODELO'!$B$15,IF(A45&lt;=80,'VARIABLES MODELO'!$B$16,IF(A45&lt;=120,'VARIABLES MODELO'!$B$17,'VARIABLES MODELO'!$B$18)))))</f>
        <v>3.2000000000000001E-2</v>
      </c>
      <c r="G45" s="5">
        <f t="shared" si="7"/>
        <v>2.0639999999999987</v>
      </c>
      <c r="H45" s="78"/>
      <c r="I45" s="5">
        <f t="shared" si="8"/>
        <v>2.0639999999999987</v>
      </c>
      <c r="J45" s="51">
        <f>IF(A45&lt;=15,'VARIABLES MODELO'!$B$8,'VARIABLES MODELO'!$B$10)</f>
        <v>509.36</v>
      </c>
      <c r="K45" s="51">
        <f t="shared" si="9"/>
        <v>1051.3190399999994</v>
      </c>
      <c r="L45" s="51">
        <f>SUM($K$4:K45)</f>
        <v>46666.371181999981</v>
      </c>
      <c r="M45" s="3">
        <f>MROUND(I45*'VARIABLES MODELO'!$B$5,30)</f>
        <v>60</v>
      </c>
      <c r="N45" s="3">
        <f>IF(A45&lt;=15,MROUND(M45/'VARIABLES MODELO'!$B$11,0.5),MROUND(M45/'VARIABLES MODELO'!$B$12,0.5))</f>
        <v>2</v>
      </c>
      <c r="O45" s="3">
        <f>IF(A45&lt;=15,SUM($M$4:M45)/'VARIABLES MODELO'!$B$11,SUM($M$19:M45)/'VARIABLES MODELO'!$B$12)</f>
        <v>54</v>
      </c>
    </row>
    <row r="46" spans="1:15" x14ac:dyDescent="0.45">
      <c r="A46">
        <v>43</v>
      </c>
      <c r="B46" s="50">
        <f>'VARIABLES MODELO'!$B$4+A46-1</f>
        <v>46327</v>
      </c>
      <c r="C46" t="str">
        <f t="shared" si="6"/>
        <v>Precoz 19%</v>
      </c>
      <c r="D46" s="3">
        <f t="shared" si="5"/>
        <v>64.94999999999996</v>
      </c>
      <c r="E46" s="3">
        <f>PRECOZ!C33</f>
        <v>0.45</v>
      </c>
      <c r="F46" s="77">
        <f>IF(A46&lt;=5,'VARIABLES MODELO'!$B$13,IF(A46&lt;=15,'VARIABLES MODELO'!$B$14,IF(A46&lt;=50,'VARIABLES MODELO'!$B$15,IF(A46&lt;=80,'VARIABLES MODELO'!$B$16,IF(A46&lt;=120,'VARIABLES MODELO'!$B$17,'VARIABLES MODELO'!$B$18)))))</f>
        <v>3.2000000000000001E-2</v>
      </c>
      <c r="G46" s="5">
        <f t="shared" si="7"/>
        <v>2.0783999999999989</v>
      </c>
      <c r="H46" s="78"/>
      <c r="I46" s="5">
        <f t="shared" si="8"/>
        <v>2.0783999999999989</v>
      </c>
      <c r="J46" s="51">
        <f>IF(A46&lt;=15,'VARIABLES MODELO'!$B$8,'VARIABLES MODELO'!$B$10)</f>
        <v>509.36</v>
      </c>
      <c r="K46" s="51">
        <f t="shared" si="9"/>
        <v>1058.6538239999995</v>
      </c>
      <c r="L46" s="51">
        <f>SUM($K$4:K46)</f>
        <v>47725.025005999982</v>
      </c>
      <c r="M46" s="3">
        <f>MROUND(I46*'VARIABLES MODELO'!$B$5,30)</f>
        <v>60</v>
      </c>
      <c r="N46" s="3">
        <f>IF(A46&lt;=15,MROUND(M46/'VARIABLES MODELO'!$B$11,0.5),MROUND(M46/'VARIABLES MODELO'!$B$12,0.5))</f>
        <v>2</v>
      </c>
      <c r="O46" s="3">
        <f>IF(A46&lt;=15,SUM($M$4:M46)/'VARIABLES MODELO'!$B$11,SUM($M$19:M46)/'VARIABLES MODELO'!$B$12)</f>
        <v>56</v>
      </c>
    </row>
    <row r="47" spans="1:15" x14ac:dyDescent="0.45">
      <c r="A47">
        <v>44</v>
      </c>
      <c r="B47" s="50">
        <f>'VARIABLES MODELO'!$B$4+A47-1</f>
        <v>46328</v>
      </c>
      <c r="C47" t="str">
        <f t="shared" si="6"/>
        <v>Precoz 19%</v>
      </c>
      <c r="D47" s="3">
        <f t="shared" si="5"/>
        <v>65.399999999999963</v>
      </c>
      <c r="E47" s="3">
        <f>PRECOZ!C34</f>
        <v>0.45</v>
      </c>
      <c r="F47" s="77">
        <f>IF(A47&lt;=5,'VARIABLES MODELO'!$B$13,IF(A47&lt;=15,'VARIABLES MODELO'!$B$14,IF(A47&lt;=50,'VARIABLES MODELO'!$B$15,IF(A47&lt;=80,'VARIABLES MODELO'!$B$16,IF(A47&lt;=120,'VARIABLES MODELO'!$B$17,'VARIABLES MODELO'!$B$18)))))</f>
        <v>3.2000000000000001E-2</v>
      </c>
      <c r="G47" s="5">
        <f t="shared" si="7"/>
        <v>2.0927999999999987</v>
      </c>
      <c r="H47" s="78"/>
      <c r="I47" s="5">
        <f t="shared" si="8"/>
        <v>2.0927999999999987</v>
      </c>
      <c r="J47" s="51">
        <f>IF(A47&lt;=15,'VARIABLES MODELO'!$B$8,'VARIABLES MODELO'!$B$10)</f>
        <v>509.36</v>
      </c>
      <c r="K47" s="51">
        <f t="shared" si="9"/>
        <v>1065.9886079999994</v>
      </c>
      <c r="L47" s="51">
        <f>SUM($K$4:K47)</f>
        <v>48791.013613999981</v>
      </c>
      <c r="M47" s="3">
        <f>MROUND(I47*'VARIABLES MODELO'!$B$5,30)</f>
        <v>60</v>
      </c>
      <c r="N47" s="3">
        <f>IF(A47&lt;=15,MROUND(M47/'VARIABLES MODELO'!$B$11,0.5),MROUND(M47/'VARIABLES MODELO'!$B$12,0.5))</f>
        <v>2</v>
      </c>
      <c r="O47" s="3">
        <f>IF(A47&lt;=15,SUM($M$4:M47)/'VARIABLES MODELO'!$B$11,SUM($M$19:M47)/'VARIABLES MODELO'!$B$12)</f>
        <v>58</v>
      </c>
    </row>
    <row r="48" spans="1:15" x14ac:dyDescent="0.45">
      <c r="A48">
        <v>45</v>
      </c>
      <c r="B48" s="50">
        <f>'VARIABLES MODELO'!$B$4+A48-1</f>
        <v>46329</v>
      </c>
      <c r="C48" t="str">
        <f t="shared" si="6"/>
        <v>Precoz 19%</v>
      </c>
      <c r="D48" s="3">
        <f t="shared" si="5"/>
        <v>65.849999999999966</v>
      </c>
      <c r="E48" s="3">
        <f>PRECOZ!C35</f>
        <v>0.45</v>
      </c>
      <c r="F48" s="77">
        <f>IF(A48&lt;=5,'VARIABLES MODELO'!$B$13,IF(A48&lt;=15,'VARIABLES MODELO'!$B$14,IF(A48&lt;=50,'VARIABLES MODELO'!$B$15,IF(A48&lt;=80,'VARIABLES MODELO'!$B$16,IF(A48&lt;=120,'VARIABLES MODELO'!$B$17,'VARIABLES MODELO'!$B$18)))))</f>
        <v>3.2000000000000001E-2</v>
      </c>
      <c r="G48" s="5">
        <f t="shared" si="7"/>
        <v>2.1071999999999989</v>
      </c>
      <c r="H48" s="78"/>
      <c r="I48" s="5">
        <f t="shared" si="8"/>
        <v>2.1071999999999989</v>
      </c>
      <c r="J48" s="51">
        <f>IF(A48&lt;=15,'VARIABLES MODELO'!$B$8,'VARIABLES MODELO'!$B$10)</f>
        <v>509.36</v>
      </c>
      <c r="K48" s="51">
        <f t="shared" si="9"/>
        <v>1073.3233919999993</v>
      </c>
      <c r="L48" s="51">
        <f>SUM($K$4:K48)</f>
        <v>49864.33700599998</v>
      </c>
      <c r="M48" s="3">
        <f>MROUND(I48*'VARIABLES MODELO'!$B$5,30)</f>
        <v>60</v>
      </c>
      <c r="N48" s="3">
        <f>IF(A48&lt;=15,MROUND(M48/'VARIABLES MODELO'!$B$11,0.5),MROUND(M48/'VARIABLES MODELO'!$B$12,0.5))</f>
        <v>2</v>
      </c>
      <c r="O48" s="3">
        <f>IF(A48&lt;=15,SUM($M$4:M48)/'VARIABLES MODELO'!$B$11,SUM($M$19:M48)/'VARIABLES MODELO'!$B$12)</f>
        <v>60</v>
      </c>
    </row>
    <row r="49" spans="1:15" x14ac:dyDescent="0.45">
      <c r="A49">
        <v>46</v>
      </c>
      <c r="B49" s="50">
        <f>'VARIABLES MODELO'!$B$4+A49-1</f>
        <v>46330</v>
      </c>
      <c r="C49" t="str">
        <f t="shared" si="6"/>
        <v>Precoz 19%</v>
      </c>
      <c r="D49" s="3">
        <f t="shared" si="5"/>
        <v>66.299999999999969</v>
      </c>
      <c r="E49" s="3">
        <f>PRECOZ!C36</f>
        <v>0.45</v>
      </c>
      <c r="F49" s="77">
        <f>IF(A49&lt;=5,'VARIABLES MODELO'!$B$13,IF(A49&lt;=15,'VARIABLES MODELO'!$B$14,IF(A49&lt;=50,'VARIABLES MODELO'!$B$15,IF(A49&lt;=80,'VARIABLES MODELO'!$B$16,IF(A49&lt;=120,'VARIABLES MODELO'!$B$17,'VARIABLES MODELO'!$B$18)))))</f>
        <v>3.2000000000000001E-2</v>
      </c>
      <c r="G49" s="5">
        <f t="shared" si="7"/>
        <v>2.121599999999999</v>
      </c>
      <c r="H49" s="78"/>
      <c r="I49" s="5">
        <f t="shared" si="8"/>
        <v>2.121599999999999</v>
      </c>
      <c r="J49" s="51">
        <f>IF(A49&lt;=15,'VARIABLES MODELO'!$B$8,'VARIABLES MODELO'!$B$10)</f>
        <v>509.36</v>
      </c>
      <c r="K49" s="51">
        <f t="shared" si="9"/>
        <v>1080.6581759999995</v>
      </c>
      <c r="L49" s="51">
        <f>SUM($K$4:K49)</f>
        <v>50944.995181999977</v>
      </c>
      <c r="M49" s="3">
        <f>MROUND(I49*'VARIABLES MODELO'!$B$5,30)</f>
        <v>60</v>
      </c>
      <c r="N49" s="3">
        <f>IF(A49&lt;=15,MROUND(M49/'VARIABLES MODELO'!$B$11,0.5),MROUND(M49/'VARIABLES MODELO'!$B$12,0.5))</f>
        <v>2</v>
      </c>
      <c r="O49" s="3">
        <f>IF(A49&lt;=15,SUM($M$4:M49)/'VARIABLES MODELO'!$B$11,SUM($M$19:M49)/'VARIABLES MODELO'!$B$12)</f>
        <v>62</v>
      </c>
    </row>
    <row r="50" spans="1:15" x14ac:dyDescent="0.45">
      <c r="A50">
        <v>47</v>
      </c>
      <c r="B50" s="50">
        <f>'VARIABLES MODELO'!$B$4+A50-1</f>
        <v>46331</v>
      </c>
      <c r="C50" t="str">
        <f t="shared" si="6"/>
        <v>Precoz 19%</v>
      </c>
      <c r="D50" s="3">
        <f t="shared" si="5"/>
        <v>66.749999999999972</v>
      </c>
      <c r="E50" s="3">
        <f>PRECOZ!C37</f>
        <v>0.45</v>
      </c>
      <c r="F50" s="77">
        <f>IF(A50&lt;=5,'VARIABLES MODELO'!$B$13,IF(A50&lt;=15,'VARIABLES MODELO'!$B$14,IF(A50&lt;=50,'VARIABLES MODELO'!$B$15,IF(A50&lt;=80,'VARIABLES MODELO'!$B$16,IF(A50&lt;=120,'VARIABLES MODELO'!$B$17,'VARIABLES MODELO'!$B$18)))))</f>
        <v>3.2000000000000001E-2</v>
      </c>
      <c r="G50" s="5">
        <f t="shared" si="7"/>
        <v>2.1359999999999992</v>
      </c>
      <c r="H50" s="78"/>
      <c r="I50" s="5">
        <f t="shared" si="8"/>
        <v>2.1359999999999992</v>
      </c>
      <c r="J50" s="51">
        <f>IF(A50&lt;=15,'VARIABLES MODELO'!$B$8,'VARIABLES MODELO'!$B$10)</f>
        <v>509.36</v>
      </c>
      <c r="K50" s="51">
        <f t="shared" si="9"/>
        <v>1087.9929599999996</v>
      </c>
      <c r="L50" s="51">
        <f>SUM($K$4:K50)</f>
        <v>52032.988141999973</v>
      </c>
      <c r="M50" s="3">
        <f>MROUND(I50*'VARIABLES MODELO'!$B$5,30)</f>
        <v>60</v>
      </c>
      <c r="N50" s="3">
        <f>IF(A50&lt;=15,MROUND(M50/'VARIABLES MODELO'!$B$11,0.5),MROUND(M50/'VARIABLES MODELO'!$B$12,0.5))</f>
        <v>2</v>
      </c>
      <c r="O50" s="3">
        <f>IF(A50&lt;=15,SUM($M$4:M50)/'VARIABLES MODELO'!$B$11,SUM($M$19:M50)/'VARIABLES MODELO'!$B$12)</f>
        <v>64</v>
      </c>
    </row>
    <row r="51" spans="1:15" x14ac:dyDescent="0.45">
      <c r="A51">
        <v>48</v>
      </c>
      <c r="B51" s="50">
        <f>'VARIABLES MODELO'!$B$4+A51-1</f>
        <v>46332</v>
      </c>
      <c r="C51" t="str">
        <f t="shared" si="6"/>
        <v>Precoz 19%</v>
      </c>
      <c r="D51" s="3">
        <f t="shared" si="5"/>
        <v>67.199999999999974</v>
      </c>
      <c r="E51" s="3">
        <f>PRECOZ!C38</f>
        <v>0.45</v>
      </c>
      <c r="F51" s="77">
        <f>IF(A51&lt;=5,'VARIABLES MODELO'!$B$13,IF(A51&lt;=15,'VARIABLES MODELO'!$B$14,IF(A51&lt;=50,'VARIABLES MODELO'!$B$15,IF(A51&lt;=80,'VARIABLES MODELO'!$B$16,IF(A51&lt;=120,'VARIABLES MODELO'!$B$17,'VARIABLES MODELO'!$B$18)))))</f>
        <v>3.2000000000000001E-2</v>
      </c>
      <c r="G51" s="5">
        <f t="shared" si="7"/>
        <v>2.1503999999999994</v>
      </c>
      <c r="H51" s="78"/>
      <c r="I51" s="5">
        <f t="shared" si="8"/>
        <v>2.1503999999999994</v>
      </c>
      <c r="J51" s="51">
        <f>IF(A51&lt;=15,'VARIABLES MODELO'!$B$8,'VARIABLES MODELO'!$B$10)</f>
        <v>509.36</v>
      </c>
      <c r="K51" s="51">
        <f t="shared" si="9"/>
        <v>1095.3277439999997</v>
      </c>
      <c r="L51" s="51">
        <f>SUM($K$4:K51)</f>
        <v>53128.315885999975</v>
      </c>
      <c r="M51" s="3">
        <f>MROUND(I51*'VARIABLES MODELO'!$B$5,30)</f>
        <v>60</v>
      </c>
      <c r="N51" s="3">
        <f>IF(A51&lt;=15,MROUND(M51/'VARIABLES MODELO'!$B$11,0.5),MROUND(M51/'VARIABLES MODELO'!$B$12,0.5))</f>
        <v>2</v>
      </c>
      <c r="O51" s="3">
        <f>IF(A51&lt;=15,SUM($M$4:M51)/'VARIABLES MODELO'!$B$11,SUM($M$19:M51)/'VARIABLES MODELO'!$B$12)</f>
        <v>66</v>
      </c>
    </row>
    <row r="52" spans="1:15" x14ac:dyDescent="0.45">
      <c r="A52">
        <v>49</v>
      </c>
      <c r="B52" s="50">
        <f>'VARIABLES MODELO'!$B$4+A52-1</f>
        <v>46333</v>
      </c>
      <c r="C52" t="str">
        <f t="shared" si="6"/>
        <v>Precoz 19%</v>
      </c>
      <c r="D52" s="3">
        <f t="shared" si="5"/>
        <v>67.649999999999977</v>
      </c>
      <c r="E52" s="3">
        <f>PRECOZ!C39</f>
        <v>0.45</v>
      </c>
      <c r="F52" s="77">
        <f>IF(A52&lt;=5,'VARIABLES MODELO'!$B$13,IF(A52&lt;=15,'VARIABLES MODELO'!$B$14,IF(A52&lt;=50,'VARIABLES MODELO'!$B$15,IF(A52&lt;=80,'VARIABLES MODELO'!$B$16,IF(A52&lt;=120,'VARIABLES MODELO'!$B$17,'VARIABLES MODELO'!$B$18)))))</f>
        <v>3.2000000000000001E-2</v>
      </c>
      <c r="G52" s="5">
        <f t="shared" si="7"/>
        <v>2.1647999999999992</v>
      </c>
      <c r="H52" s="78"/>
      <c r="I52" s="5">
        <f t="shared" si="8"/>
        <v>2.1647999999999992</v>
      </c>
      <c r="J52" s="51">
        <f>IF(A52&lt;=15,'VARIABLES MODELO'!$B$8,'VARIABLES MODELO'!$B$10)</f>
        <v>509.36</v>
      </c>
      <c r="K52" s="51">
        <f t="shared" si="9"/>
        <v>1102.6625279999996</v>
      </c>
      <c r="L52" s="51">
        <f>SUM($K$4:K52)</f>
        <v>54230.978413999976</v>
      </c>
      <c r="M52" s="3">
        <f>MROUND(I52*'VARIABLES MODELO'!$B$5,30)</f>
        <v>60</v>
      </c>
      <c r="N52" s="3">
        <f>IF(A52&lt;=15,MROUND(M52/'VARIABLES MODELO'!$B$11,0.5),MROUND(M52/'VARIABLES MODELO'!$B$12,0.5))</f>
        <v>2</v>
      </c>
      <c r="O52" s="3">
        <f>IF(A52&lt;=15,SUM($M$4:M52)/'VARIABLES MODELO'!$B$11,SUM($M$19:M52)/'VARIABLES MODELO'!$B$12)</f>
        <v>68</v>
      </c>
    </row>
    <row r="53" spans="1:15" x14ac:dyDescent="0.45">
      <c r="A53">
        <v>50</v>
      </c>
      <c r="B53" s="50">
        <f>'VARIABLES MODELO'!$B$4+A53-1</f>
        <v>46334</v>
      </c>
      <c r="C53" t="str">
        <f t="shared" si="6"/>
        <v>Precoz 19%</v>
      </c>
      <c r="D53" s="3">
        <f t="shared" si="5"/>
        <v>68.09999999999998</v>
      </c>
      <c r="E53" s="3">
        <f>PRECOZ!C40</f>
        <v>0.45</v>
      </c>
      <c r="F53" s="77">
        <f>IF(A53&lt;=5,'VARIABLES MODELO'!$B$13,IF(A53&lt;=15,'VARIABLES MODELO'!$B$14,IF(A53&lt;=50,'VARIABLES MODELO'!$B$15,IF(A53&lt;=80,'VARIABLES MODELO'!$B$16,IF(A53&lt;=120,'VARIABLES MODELO'!$B$17,'VARIABLES MODELO'!$B$18)))))</f>
        <v>3.2000000000000001E-2</v>
      </c>
      <c r="G53" s="5">
        <f t="shared" si="7"/>
        <v>2.1791999999999994</v>
      </c>
      <c r="H53" s="78"/>
      <c r="I53" s="5">
        <f t="shared" si="8"/>
        <v>2.1791999999999994</v>
      </c>
      <c r="J53" s="51">
        <f>IF(A53&lt;=15,'VARIABLES MODELO'!$B$8,'VARIABLES MODELO'!$B$10)</f>
        <v>509.36</v>
      </c>
      <c r="K53" s="51">
        <f t="shared" si="9"/>
        <v>1109.9973119999997</v>
      </c>
      <c r="L53" s="51">
        <f>SUM($K$4:K53)</f>
        <v>55340.975725999975</v>
      </c>
      <c r="M53" s="3">
        <f>MROUND(I53*'VARIABLES MODELO'!$B$5,30)</f>
        <v>60</v>
      </c>
      <c r="N53" s="3">
        <f>IF(A53&lt;=15,MROUND(M53/'VARIABLES MODELO'!$B$11,0.5),MROUND(M53/'VARIABLES MODELO'!$B$12,0.5))</f>
        <v>2</v>
      </c>
      <c r="O53" s="3">
        <f>IF(A53&lt;=15,SUM($M$4:M53)/'VARIABLES MODELO'!$B$11,SUM($M$19:M53)/'VARIABLES MODELO'!$B$12)</f>
        <v>70</v>
      </c>
    </row>
    <row r="54" spans="1:15" x14ac:dyDescent="0.45">
      <c r="A54">
        <v>51</v>
      </c>
      <c r="B54" s="50">
        <f>'VARIABLES MODELO'!$B$4+A54-1</f>
        <v>46335</v>
      </c>
      <c r="C54" t="str">
        <f t="shared" si="6"/>
        <v>Precoz 19%</v>
      </c>
      <c r="D54" s="3">
        <f t="shared" si="5"/>
        <v>68.549999999999983</v>
      </c>
      <c r="E54" s="3">
        <f>PRECOZ!C41</f>
        <v>0.45</v>
      </c>
      <c r="F54" s="77">
        <f>IF(A54&lt;=5,'VARIABLES MODELO'!$B$13,IF(A54&lt;=15,'VARIABLES MODELO'!$B$14,IF(A54&lt;=50,'VARIABLES MODELO'!$B$15,IF(A54&lt;=80,'VARIABLES MODELO'!$B$16,IF(A54&lt;=120,'VARIABLES MODELO'!$B$17,'VARIABLES MODELO'!$B$18)))))</f>
        <v>0.03</v>
      </c>
      <c r="G54" s="5">
        <f t="shared" si="7"/>
        <v>2.0564999999999993</v>
      </c>
      <c r="H54" s="78"/>
      <c r="I54" s="5">
        <f t="shared" si="8"/>
        <v>2.0564999999999993</v>
      </c>
      <c r="J54" s="51">
        <f>IF(A54&lt;=15,'VARIABLES MODELO'!$B$8,'VARIABLES MODELO'!$B$10)</f>
        <v>509.36</v>
      </c>
      <c r="K54" s="51">
        <f t="shared" si="9"/>
        <v>1047.4988399999997</v>
      </c>
      <c r="L54" s="51">
        <f>SUM($K$4:K54)</f>
        <v>56388.474565999975</v>
      </c>
      <c r="M54" s="3">
        <f>MROUND(I54*'VARIABLES MODELO'!$B$5,30)</f>
        <v>60</v>
      </c>
      <c r="N54" s="3">
        <f>IF(A54&lt;=15,MROUND(M54/'VARIABLES MODELO'!$B$11,0.5),MROUND(M54/'VARIABLES MODELO'!$B$12,0.5))</f>
        <v>2</v>
      </c>
      <c r="O54" s="3">
        <f>IF(A54&lt;=15,SUM($M$4:M54)/'VARIABLES MODELO'!$B$11,SUM($M$19:M54)/'VARIABLES MODELO'!$B$12)</f>
        <v>72</v>
      </c>
    </row>
    <row r="55" spans="1:15" x14ac:dyDescent="0.45">
      <c r="A55">
        <v>52</v>
      </c>
      <c r="B55" s="50">
        <f>'VARIABLES MODELO'!$B$4+A55-1</f>
        <v>46336</v>
      </c>
      <c r="C55" t="str">
        <f t="shared" si="6"/>
        <v>Precoz 19%</v>
      </c>
      <c r="D55" s="3">
        <f t="shared" si="5"/>
        <v>68.999999999999986</v>
      </c>
      <c r="E55" s="3">
        <f>PRECOZ!C42</f>
        <v>0.5</v>
      </c>
      <c r="F55" s="77">
        <f>IF(A55&lt;=5,'VARIABLES MODELO'!$B$13,IF(A55&lt;=15,'VARIABLES MODELO'!$B$14,IF(A55&lt;=50,'VARIABLES MODELO'!$B$15,IF(A55&lt;=80,'VARIABLES MODELO'!$B$16,IF(A55&lt;=120,'VARIABLES MODELO'!$B$17,'VARIABLES MODELO'!$B$18)))))</f>
        <v>0.03</v>
      </c>
      <c r="G55" s="5">
        <f t="shared" si="7"/>
        <v>2.0699999999999994</v>
      </c>
      <c r="H55" s="78"/>
      <c r="I55" s="5">
        <f t="shared" si="8"/>
        <v>2.0699999999999994</v>
      </c>
      <c r="J55" s="51">
        <f>IF(A55&lt;=15,'VARIABLES MODELO'!$B$8,'VARIABLES MODELO'!$B$10)</f>
        <v>509.36</v>
      </c>
      <c r="K55" s="51">
        <f t="shared" si="9"/>
        <v>1054.3751999999997</v>
      </c>
      <c r="L55" s="51">
        <f>SUM($K$4:K55)</f>
        <v>57442.849765999978</v>
      </c>
      <c r="M55" s="3">
        <f>MROUND(I55*'VARIABLES MODELO'!$B$5,30)</f>
        <v>60</v>
      </c>
      <c r="N55" s="3">
        <f>IF(A55&lt;=15,MROUND(M55/'VARIABLES MODELO'!$B$11,0.5),MROUND(M55/'VARIABLES MODELO'!$B$12,0.5))</f>
        <v>2</v>
      </c>
      <c r="O55" s="3">
        <f>IF(A55&lt;=15,SUM($M$4:M55)/'VARIABLES MODELO'!$B$11,SUM($M$19:M55)/'VARIABLES MODELO'!$B$12)</f>
        <v>74</v>
      </c>
    </row>
    <row r="56" spans="1:15" x14ac:dyDescent="0.45">
      <c r="A56">
        <v>53</v>
      </c>
      <c r="B56" s="50">
        <f>'VARIABLES MODELO'!$B$4+A56-1</f>
        <v>46337</v>
      </c>
      <c r="C56" t="str">
        <f t="shared" si="6"/>
        <v>Precoz 19%</v>
      </c>
      <c r="D56" s="3">
        <f t="shared" si="5"/>
        <v>69.499999999999986</v>
      </c>
      <c r="E56" s="3">
        <f>PRECOZ!C43</f>
        <v>0.5</v>
      </c>
      <c r="F56" s="77">
        <f>IF(A56&lt;=5,'VARIABLES MODELO'!$B$13,IF(A56&lt;=15,'VARIABLES MODELO'!$B$14,IF(A56&lt;=50,'VARIABLES MODELO'!$B$15,IF(A56&lt;=80,'VARIABLES MODELO'!$B$16,IF(A56&lt;=120,'VARIABLES MODELO'!$B$17,'VARIABLES MODELO'!$B$18)))))</f>
        <v>0.03</v>
      </c>
      <c r="G56" s="5">
        <f t="shared" si="7"/>
        <v>2.0849999999999995</v>
      </c>
      <c r="H56" s="78"/>
      <c r="I56" s="5">
        <f t="shared" si="8"/>
        <v>2.0849999999999995</v>
      </c>
      <c r="J56" s="51">
        <f>IF(A56&lt;=15,'VARIABLES MODELO'!$B$8,'VARIABLES MODELO'!$B$10)</f>
        <v>509.36</v>
      </c>
      <c r="K56" s="51">
        <f t="shared" si="9"/>
        <v>1062.0155999999997</v>
      </c>
      <c r="L56" s="51">
        <f>SUM($K$4:K56)</f>
        <v>58504.865365999976</v>
      </c>
      <c r="M56" s="3">
        <f>MROUND(I56*'VARIABLES MODELO'!$B$5,30)</f>
        <v>60</v>
      </c>
      <c r="N56" s="3">
        <f>IF(A56&lt;=15,MROUND(M56/'VARIABLES MODELO'!$B$11,0.5),MROUND(M56/'VARIABLES MODELO'!$B$12,0.5))</f>
        <v>2</v>
      </c>
      <c r="O56" s="3">
        <f>IF(A56&lt;=15,SUM($M$4:M56)/'VARIABLES MODELO'!$B$11,SUM($M$19:M56)/'VARIABLES MODELO'!$B$12)</f>
        <v>76</v>
      </c>
    </row>
    <row r="57" spans="1:15" x14ac:dyDescent="0.45">
      <c r="A57">
        <v>54</v>
      </c>
      <c r="B57" s="50">
        <f>'VARIABLES MODELO'!$B$4+A57-1</f>
        <v>46338</v>
      </c>
      <c r="C57" t="str">
        <f t="shared" si="6"/>
        <v>Precoz 19%</v>
      </c>
      <c r="D57" s="3">
        <f t="shared" si="5"/>
        <v>69.999999999999986</v>
      </c>
      <c r="E57" s="3">
        <f>PRECOZ!C44</f>
        <v>0.5</v>
      </c>
      <c r="F57" s="77">
        <f>IF(A57&lt;=5,'VARIABLES MODELO'!$B$13,IF(A57&lt;=15,'VARIABLES MODELO'!$B$14,IF(A57&lt;=50,'VARIABLES MODELO'!$B$15,IF(A57&lt;=80,'VARIABLES MODELO'!$B$16,IF(A57&lt;=120,'VARIABLES MODELO'!$B$17,'VARIABLES MODELO'!$B$18)))))</f>
        <v>0.03</v>
      </c>
      <c r="G57" s="5">
        <f t="shared" si="7"/>
        <v>2.0999999999999996</v>
      </c>
      <c r="H57" s="78"/>
      <c r="I57" s="5">
        <f t="shared" si="8"/>
        <v>2.0999999999999996</v>
      </c>
      <c r="J57" s="51">
        <f>IF(A57&lt;=15,'VARIABLES MODELO'!$B$8,'VARIABLES MODELO'!$B$10)</f>
        <v>509.36</v>
      </c>
      <c r="K57" s="51">
        <f t="shared" si="9"/>
        <v>1069.6559999999999</v>
      </c>
      <c r="L57" s="51">
        <f>SUM($K$4:K57)</f>
        <v>59574.521365999979</v>
      </c>
      <c r="M57" s="3">
        <f>MROUND(I57*'VARIABLES MODELO'!$B$5,30)</f>
        <v>60</v>
      </c>
      <c r="N57" s="3">
        <f>IF(A57&lt;=15,MROUND(M57/'VARIABLES MODELO'!$B$11,0.5),MROUND(M57/'VARIABLES MODELO'!$B$12,0.5))</f>
        <v>2</v>
      </c>
      <c r="O57" s="3">
        <f>IF(A57&lt;=15,SUM($M$4:M57)/'VARIABLES MODELO'!$B$11,SUM($M$19:M57)/'VARIABLES MODELO'!$B$12)</f>
        <v>78</v>
      </c>
    </row>
    <row r="58" spans="1:15" x14ac:dyDescent="0.45">
      <c r="A58">
        <v>55</v>
      </c>
      <c r="B58" s="50">
        <f>'VARIABLES MODELO'!$B$4+A58-1</f>
        <v>46339</v>
      </c>
      <c r="C58" t="str">
        <f t="shared" si="6"/>
        <v>Precoz 19%</v>
      </c>
      <c r="D58" s="3">
        <f t="shared" si="5"/>
        <v>70.499999999999986</v>
      </c>
      <c r="E58" s="3">
        <f>PRECOZ!C45</f>
        <v>0.5</v>
      </c>
      <c r="F58" s="77">
        <f>IF(A58&lt;=5,'VARIABLES MODELO'!$B$13,IF(A58&lt;=15,'VARIABLES MODELO'!$B$14,IF(A58&lt;=50,'VARIABLES MODELO'!$B$15,IF(A58&lt;=80,'VARIABLES MODELO'!$B$16,IF(A58&lt;=120,'VARIABLES MODELO'!$B$17,'VARIABLES MODELO'!$B$18)))))</f>
        <v>0.03</v>
      </c>
      <c r="G58" s="5">
        <f t="shared" si="7"/>
        <v>2.1149999999999993</v>
      </c>
      <c r="H58" s="78"/>
      <c r="I58" s="5">
        <f t="shared" si="8"/>
        <v>2.1149999999999993</v>
      </c>
      <c r="J58" s="51">
        <f>IF(A58&lt;=15,'VARIABLES MODELO'!$B$8,'VARIABLES MODELO'!$B$10)</f>
        <v>509.36</v>
      </c>
      <c r="K58" s="51">
        <f t="shared" si="9"/>
        <v>1077.2963999999997</v>
      </c>
      <c r="L58" s="51">
        <f>SUM($K$4:K58)</f>
        <v>60651.817765999978</v>
      </c>
      <c r="M58" s="3">
        <f>MROUND(I58*'VARIABLES MODELO'!$B$5,30)</f>
        <v>60</v>
      </c>
      <c r="N58" s="3">
        <f>IF(A58&lt;=15,MROUND(M58/'VARIABLES MODELO'!$B$11,0.5),MROUND(M58/'VARIABLES MODELO'!$B$12,0.5))</f>
        <v>2</v>
      </c>
      <c r="O58" s="3">
        <f>IF(A58&lt;=15,SUM($M$4:M58)/'VARIABLES MODELO'!$B$11,SUM($M$19:M58)/'VARIABLES MODELO'!$B$12)</f>
        <v>80</v>
      </c>
    </row>
    <row r="59" spans="1:15" x14ac:dyDescent="0.45">
      <c r="A59">
        <v>56</v>
      </c>
      <c r="B59" s="50">
        <f>'VARIABLES MODELO'!$B$4+A59-1</f>
        <v>46340</v>
      </c>
      <c r="C59" t="str">
        <f t="shared" si="6"/>
        <v>Precoz 19%</v>
      </c>
      <c r="D59" s="3">
        <f t="shared" si="5"/>
        <v>70.999999999999986</v>
      </c>
      <c r="E59" s="3">
        <f>PRECOZ!C46</f>
        <v>0.5</v>
      </c>
      <c r="F59" s="77">
        <f>IF(A59&lt;=5,'VARIABLES MODELO'!$B$13,IF(A59&lt;=15,'VARIABLES MODELO'!$B$14,IF(A59&lt;=50,'VARIABLES MODELO'!$B$15,IF(A59&lt;=80,'VARIABLES MODELO'!$B$16,IF(A59&lt;=120,'VARIABLES MODELO'!$B$17,'VARIABLES MODELO'!$B$18)))))</f>
        <v>0.03</v>
      </c>
      <c r="G59" s="5">
        <f t="shared" si="7"/>
        <v>2.1299999999999994</v>
      </c>
      <c r="H59" s="78"/>
      <c r="I59" s="5">
        <f t="shared" si="8"/>
        <v>2.1299999999999994</v>
      </c>
      <c r="J59" s="51">
        <f>IF(A59&lt;=15,'VARIABLES MODELO'!$B$8,'VARIABLES MODELO'!$B$10)</f>
        <v>509.36</v>
      </c>
      <c r="K59" s="51">
        <f t="shared" si="9"/>
        <v>1084.9367999999997</v>
      </c>
      <c r="L59" s="51">
        <f>SUM($K$4:K59)</f>
        <v>61736.754565999981</v>
      </c>
      <c r="M59" s="3">
        <f>MROUND(I59*'VARIABLES MODELO'!$B$5,30)</f>
        <v>60</v>
      </c>
      <c r="N59" s="3">
        <f>IF(A59&lt;=15,MROUND(M59/'VARIABLES MODELO'!$B$11,0.5),MROUND(M59/'VARIABLES MODELO'!$B$12,0.5))</f>
        <v>2</v>
      </c>
      <c r="O59" s="3">
        <f>IF(A59&lt;=15,SUM($M$4:M59)/'VARIABLES MODELO'!$B$11,SUM($M$19:M59)/'VARIABLES MODELO'!$B$12)</f>
        <v>82</v>
      </c>
    </row>
    <row r="60" spans="1:15" x14ac:dyDescent="0.45">
      <c r="A60">
        <v>57</v>
      </c>
      <c r="B60" s="50">
        <f>'VARIABLES MODELO'!$B$4+A60-1</f>
        <v>46341</v>
      </c>
      <c r="C60" t="str">
        <f t="shared" si="6"/>
        <v>Precoz 19%</v>
      </c>
      <c r="D60" s="3">
        <f t="shared" si="5"/>
        <v>71.499999999999986</v>
      </c>
      <c r="E60" s="3">
        <f>PRECOZ!C47</f>
        <v>0.5</v>
      </c>
      <c r="F60" s="77">
        <f>IF(A60&lt;=5,'VARIABLES MODELO'!$B$13,IF(A60&lt;=15,'VARIABLES MODELO'!$B$14,IF(A60&lt;=50,'VARIABLES MODELO'!$B$15,IF(A60&lt;=80,'VARIABLES MODELO'!$B$16,IF(A60&lt;=120,'VARIABLES MODELO'!$B$17,'VARIABLES MODELO'!$B$18)))))</f>
        <v>0.03</v>
      </c>
      <c r="G60" s="5">
        <f t="shared" si="7"/>
        <v>2.1449999999999996</v>
      </c>
      <c r="H60" s="78"/>
      <c r="I60" s="5">
        <f t="shared" si="8"/>
        <v>2.1449999999999996</v>
      </c>
      <c r="J60" s="51">
        <f>IF(A60&lt;=15,'VARIABLES MODELO'!$B$8,'VARIABLES MODELO'!$B$10)</f>
        <v>509.36</v>
      </c>
      <c r="K60" s="51">
        <f t="shared" si="9"/>
        <v>1092.5771999999997</v>
      </c>
      <c r="L60" s="51">
        <f>SUM($K$4:K60)</f>
        <v>62829.331765999981</v>
      </c>
      <c r="M60" s="3">
        <f>MROUND(I60*'VARIABLES MODELO'!$B$5,30)</f>
        <v>60</v>
      </c>
      <c r="N60" s="3">
        <f>IF(A60&lt;=15,MROUND(M60/'VARIABLES MODELO'!$B$11,0.5),MROUND(M60/'VARIABLES MODELO'!$B$12,0.5))</f>
        <v>2</v>
      </c>
      <c r="O60" s="3">
        <f>IF(A60&lt;=15,SUM($M$4:M60)/'VARIABLES MODELO'!$B$11,SUM($M$19:M60)/'VARIABLES MODELO'!$B$12)</f>
        <v>84</v>
      </c>
    </row>
    <row r="61" spans="1:15" x14ac:dyDescent="0.45">
      <c r="A61">
        <v>58</v>
      </c>
      <c r="B61" s="50">
        <f>'VARIABLES MODELO'!$B$4+A61-1</f>
        <v>46342</v>
      </c>
      <c r="C61" t="str">
        <f t="shared" si="6"/>
        <v>Precoz 19%</v>
      </c>
      <c r="D61" s="3">
        <f t="shared" si="5"/>
        <v>71.999999999999986</v>
      </c>
      <c r="E61" s="3">
        <f>PRECOZ!C48</f>
        <v>0.5</v>
      </c>
      <c r="F61" s="77">
        <f>IF(A61&lt;=5,'VARIABLES MODELO'!$B$13,IF(A61&lt;=15,'VARIABLES MODELO'!$B$14,IF(A61&lt;=50,'VARIABLES MODELO'!$B$15,IF(A61&lt;=80,'VARIABLES MODELO'!$B$16,IF(A61&lt;=120,'VARIABLES MODELO'!$B$17,'VARIABLES MODELO'!$B$18)))))</f>
        <v>0.03</v>
      </c>
      <c r="G61" s="5">
        <f t="shared" si="7"/>
        <v>2.1599999999999997</v>
      </c>
      <c r="H61" s="78"/>
      <c r="I61" s="5">
        <f t="shared" si="8"/>
        <v>2.1599999999999997</v>
      </c>
      <c r="J61" s="51">
        <f>IF(A61&lt;=15,'VARIABLES MODELO'!$B$8,'VARIABLES MODELO'!$B$10)</f>
        <v>509.36</v>
      </c>
      <c r="K61" s="51">
        <f t="shared" si="9"/>
        <v>1100.2175999999999</v>
      </c>
      <c r="L61" s="51">
        <f>SUM($K$4:K61)</f>
        <v>63929.549365999977</v>
      </c>
      <c r="M61" s="3">
        <f>MROUND(I61*'VARIABLES MODELO'!$B$5,30)</f>
        <v>60</v>
      </c>
      <c r="N61" s="3">
        <f>IF(A61&lt;=15,MROUND(M61/'VARIABLES MODELO'!$B$11,0.5),MROUND(M61/'VARIABLES MODELO'!$B$12,0.5))</f>
        <v>2</v>
      </c>
      <c r="O61" s="3">
        <f>IF(A61&lt;=15,SUM($M$4:M61)/'VARIABLES MODELO'!$B$11,SUM($M$19:M61)/'VARIABLES MODELO'!$B$12)</f>
        <v>86</v>
      </c>
    </row>
    <row r="62" spans="1:15" x14ac:dyDescent="0.45">
      <c r="A62">
        <v>59</v>
      </c>
      <c r="B62" s="50">
        <f>'VARIABLES MODELO'!$B$4+A62-1</f>
        <v>46343</v>
      </c>
      <c r="C62" t="str">
        <f t="shared" si="6"/>
        <v>Precoz 19%</v>
      </c>
      <c r="D62" s="3">
        <f t="shared" si="5"/>
        <v>72.499999999999986</v>
      </c>
      <c r="E62" s="3">
        <f>PRECOZ!C49</f>
        <v>0.6</v>
      </c>
      <c r="F62" s="77">
        <f>IF(A62&lt;=5,'VARIABLES MODELO'!$B$13,IF(A62&lt;=15,'VARIABLES MODELO'!$B$14,IF(A62&lt;=50,'VARIABLES MODELO'!$B$15,IF(A62&lt;=80,'VARIABLES MODELO'!$B$16,IF(A62&lt;=120,'VARIABLES MODELO'!$B$17,'VARIABLES MODELO'!$B$18)))))</f>
        <v>0.03</v>
      </c>
      <c r="G62" s="5">
        <f t="shared" si="7"/>
        <v>2.1749999999999994</v>
      </c>
      <c r="H62" s="78"/>
      <c r="I62" s="5">
        <f t="shared" si="8"/>
        <v>2.1749999999999994</v>
      </c>
      <c r="J62" s="51">
        <f>IF(A62&lt;=15,'VARIABLES MODELO'!$B$8,'VARIABLES MODELO'!$B$10)</f>
        <v>509.36</v>
      </c>
      <c r="K62" s="51">
        <f t="shared" si="9"/>
        <v>1107.8579999999997</v>
      </c>
      <c r="L62" s="51">
        <f>SUM($K$4:K62)</f>
        <v>65037.407365999978</v>
      </c>
      <c r="M62" s="3">
        <f>MROUND(I62*'VARIABLES MODELO'!$B$5,30)</f>
        <v>60</v>
      </c>
      <c r="N62" s="3">
        <f>IF(A62&lt;=15,MROUND(M62/'VARIABLES MODELO'!$B$11,0.5),MROUND(M62/'VARIABLES MODELO'!$B$12,0.5))</f>
        <v>2</v>
      </c>
      <c r="O62" s="3">
        <f>IF(A62&lt;=15,SUM($M$4:M62)/'VARIABLES MODELO'!$B$11,SUM($M$19:M62)/'VARIABLES MODELO'!$B$12)</f>
        <v>88</v>
      </c>
    </row>
    <row r="63" spans="1:15" x14ac:dyDescent="0.45">
      <c r="A63">
        <v>60</v>
      </c>
      <c r="B63" s="50">
        <f>'VARIABLES MODELO'!$B$4+A63-1</f>
        <v>46344</v>
      </c>
      <c r="C63" t="str">
        <f t="shared" si="6"/>
        <v>Precoz 19%</v>
      </c>
      <c r="D63" s="3">
        <f t="shared" si="5"/>
        <v>73.09999999999998</v>
      </c>
      <c r="E63" s="3">
        <f>PRECOZ!C50</f>
        <v>0.6</v>
      </c>
      <c r="F63" s="77">
        <f>IF(A63&lt;=5,'VARIABLES MODELO'!$B$13,IF(A63&lt;=15,'VARIABLES MODELO'!$B$14,IF(A63&lt;=50,'VARIABLES MODELO'!$B$15,IF(A63&lt;=80,'VARIABLES MODELO'!$B$16,IF(A63&lt;=120,'VARIABLES MODELO'!$B$17,'VARIABLES MODELO'!$B$18)))))</f>
        <v>0.03</v>
      </c>
      <c r="G63" s="5">
        <f t="shared" si="7"/>
        <v>2.1929999999999992</v>
      </c>
      <c r="H63" s="78"/>
      <c r="I63" s="5">
        <f t="shared" si="8"/>
        <v>2.1929999999999992</v>
      </c>
      <c r="J63" s="51">
        <f>IF(A63&lt;=15,'VARIABLES MODELO'!$B$8,'VARIABLES MODELO'!$B$10)</f>
        <v>509.36</v>
      </c>
      <c r="K63" s="51">
        <f t="shared" si="9"/>
        <v>1117.0264799999995</v>
      </c>
      <c r="L63" s="51">
        <f>SUM($K$4:K63)</f>
        <v>66154.433845999971</v>
      </c>
      <c r="M63" s="3">
        <f>MROUND(I63*'VARIABLES MODELO'!$B$5,30)</f>
        <v>60</v>
      </c>
      <c r="N63" s="3">
        <f>IF(A63&lt;=15,MROUND(M63/'VARIABLES MODELO'!$B$11,0.5),MROUND(M63/'VARIABLES MODELO'!$B$12,0.5))</f>
        <v>2</v>
      </c>
      <c r="O63" s="3">
        <f>IF(A63&lt;=15,SUM($M$4:M63)/'VARIABLES MODELO'!$B$11,SUM($M$19:M63)/'VARIABLES MODELO'!$B$12)</f>
        <v>90</v>
      </c>
    </row>
    <row r="64" spans="1:15" x14ac:dyDescent="0.45">
      <c r="A64">
        <v>61</v>
      </c>
      <c r="B64" s="50">
        <f>'VARIABLES MODELO'!$B$4+A64-1</f>
        <v>46345</v>
      </c>
      <c r="C64" t="str">
        <f t="shared" si="6"/>
        <v>Precoz 19%</v>
      </c>
      <c r="D64" s="3">
        <f t="shared" si="5"/>
        <v>73.699999999999974</v>
      </c>
      <c r="E64" s="3">
        <f>PRECOZ!C51</f>
        <v>0.6</v>
      </c>
      <c r="F64" s="77">
        <f>IF(A64&lt;=5,'VARIABLES MODELO'!$B$13,IF(A64&lt;=15,'VARIABLES MODELO'!$B$14,IF(A64&lt;=50,'VARIABLES MODELO'!$B$15,IF(A64&lt;=80,'VARIABLES MODELO'!$B$16,IF(A64&lt;=120,'VARIABLES MODELO'!$B$17,'VARIABLES MODELO'!$B$18)))))</f>
        <v>0.03</v>
      </c>
      <c r="G64" s="5">
        <f t="shared" si="7"/>
        <v>2.210999999999999</v>
      </c>
      <c r="H64" s="78"/>
      <c r="I64" s="5">
        <f t="shared" si="8"/>
        <v>2.210999999999999</v>
      </c>
      <c r="J64" s="51">
        <f>IF(A64&lt;=15,'VARIABLES MODELO'!$B$8,'VARIABLES MODELO'!$B$10)</f>
        <v>509.36</v>
      </c>
      <c r="K64" s="51">
        <f t="shared" si="9"/>
        <v>1126.1949599999996</v>
      </c>
      <c r="L64" s="51">
        <f>SUM($K$4:K64)</f>
        <v>67280.628805999964</v>
      </c>
      <c r="M64" s="3">
        <f>MROUND(I64*'VARIABLES MODELO'!$B$5,30)</f>
        <v>60</v>
      </c>
      <c r="N64" s="3">
        <f>IF(A64&lt;=15,MROUND(M64/'VARIABLES MODELO'!$B$11,0.5),MROUND(M64/'VARIABLES MODELO'!$B$12,0.5))</f>
        <v>2</v>
      </c>
      <c r="O64" s="3">
        <f>IF(A64&lt;=15,SUM($M$4:M64)/'VARIABLES MODELO'!$B$11,SUM($M$19:M64)/'VARIABLES MODELO'!$B$12)</f>
        <v>92</v>
      </c>
    </row>
    <row r="65" spans="1:15" x14ac:dyDescent="0.45">
      <c r="A65">
        <v>62</v>
      </c>
      <c r="B65" s="50">
        <f>'VARIABLES MODELO'!$B$4+A65-1</f>
        <v>46346</v>
      </c>
      <c r="C65" t="str">
        <f t="shared" si="6"/>
        <v>Precoz 19%</v>
      </c>
      <c r="D65" s="3">
        <f t="shared" si="5"/>
        <v>74.299999999999969</v>
      </c>
      <c r="E65" s="3">
        <f>PRECOZ!C52</f>
        <v>0.6</v>
      </c>
      <c r="F65" s="77">
        <f>IF(A65&lt;=5,'VARIABLES MODELO'!$B$13,IF(A65&lt;=15,'VARIABLES MODELO'!$B$14,IF(A65&lt;=50,'VARIABLES MODELO'!$B$15,IF(A65&lt;=80,'VARIABLES MODELO'!$B$16,IF(A65&lt;=120,'VARIABLES MODELO'!$B$17,'VARIABLES MODELO'!$B$18)))))</f>
        <v>0.03</v>
      </c>
      <c r="G65" s="5">
        <f t="shared" si="7"/>
        <v>2.2289999999999988</v>
      </c>
      <c r="H65" s="78"/>
      <c r="I65" s="5">
        <f t="shared" si="8"/>
        <v>2.2289999999999988</v>
      </c>
      <c r="J65" s="51">
        <f>IF(A65&lt;=15,'VARIABLES MODELO'!$B$8,'VARIABLES MODELO'!$B$10)</f>
        <v>509.36</v>
      </c>
      <c r="K65" s="51">
        <f t="shared" si="9"/>
        <v>1135.3634399999994</v>
      </c>
      <c r="L65" s="51">
        <f>SUM($K$4:K65)</f>
        <v>68415.992245999965</v>
      </c>
      <c r="M65" s="3">
        <f>MROUND(I65*'VARIABLES MODELO'!$B$5,30)</f>
        <v>60</v>
      </c>
      <c r="N65" s="3">
        <f>IF(A65&lt;=15,MROUND(M65/'VARIABLES MODELO'!$B$11,0.5),MROUND(M65/'VARIABLES MODELO'!$B$12,0.5))</f>
        <v>2</v>
      </c>
      <c r="O65" s="3">
        <f>IF(A65&lt;=15,SUM($M$4:M65)/'VARIABLES MODELO'!$B$11,SUM($M$19:M65)/'VARIABLES MODELO'!$B$12)</f>
        <v>94</v>
      </c>
    </row>
    <row r="66" spans="1:15" x14ac:dyDescent="0.45">
      <c r="A66">
        <v>63</v>
      </c>
      <c r="B66" s="50">
        <f>'VARIABLES MODELO'!$B$4+A66-1</f>
        <v>46347</v>
      </c>
      <c r="C66" t="str">
        <f t="shared" si="6"/>
        <v>Precoz 19%</v>
      </c>
      <c r="D66" s="3">
        <f t="shared" si="5"/>
        <v>74.899999999999963</v>
      </c>
      <c r="E66" s="3">
        <f>PRECOZ!C53</f>
        <v>0.6</v>
      </c>
      <c r="F66" s="77">
        <f>IF(A66&lt;=5,'VARIABLES MODELO'!$B$13,IF(A66&lt;=15,'VARIABLES MODELO'!$B$14,IF(A66&lt;=50,'VARIABLES MODELO'!$B$15,IF(A66&lt;=80,'VARIABLES MODELO'!$B$16,IF(A66&lt;=120,'VARIABLES MODELO'!$B$17,'VARIABLES MODELO'!$B$18)))))</f>
        <v>0.03</v>
      </c>
      <c r="G66" s="5">
        <f t="shared" si="7"/>
        <v>2.246999999999999</v>
      </c>
      <c r="H66" s="78"/>
      <c r="I66" s="5">
        <f t="shared" si="8"/>
        <v>2.246999999999999</v>
      </c>
      <c r="J66" s="51">
        <f>IF(A66&lt;=15,'VARIABLES MODELO'!$B$8,'VARIABLES MODELO'!$B$10)</f>
        <v>509.36</v>
      </c>
      <c r="K66" s="51">
        <f t="shared" si="9"/>
        <v>1144.5319199999994</v>
      </c>
      <c r="L66" s="51">
        <f>SUM($K$4:K66)</f>
        <v>69560.524165999959</v>
      </c>
      <c r="M66" s="3">
        <f>MROUND(I66*'VARIABLES MODELO'!$B$5,30)</f>
        <v>60</v>
      </c>
      <c r="N66" s="3">
        <f>IF(A66&lt;=15,MROUND(M66/'VARIABLES MODELO'!$B$11,0.5),MROUND(M66/'VARIABLES MODELO'!$B$12,0.5))</f>
        <v>2</v>
      </c>
      <c r="O66" s="3">
        <f>IF(A66&lt;=15,SUM($M$4:M66)/'VARIABLES MODELO'!$B$11,SUM($M$19:M66)/'VARIABLES MODELO'!$B$12)</f>
        <v>96</v>
      </c>
    </row>
    <row r="67" spans="1:15" x14ac:dyDescent="0.45">
      <c r="A67">
        <v>64</v>
      </c>
      <c r="B67" s="50">
        <f>'VARIABLES MODELO'!$B$4+A67-1</f>
        <v>46348</v>
      </c>
      <c r="C67" t="str">
        <f t="shared" si="6"/>
        <v>Precoz 19%</v>
      </c>
      <c r="D67" s="3">
        <f t="shared" si="5"/>
        <v>75.499999999999957</v>
      </c>
      <c r="E67" s="3">
        <f>PRECOZ!C54</f>
        <v>0.6</v>
      </c>
      <c r="F67" s="77">
        <f>IF(A67&lt;=5,'VARIABLES MODELO'!$B$13,IF(A67&lt;=15,'VARIABLES MODELO'!$B$14,IF(A67&lt;=50,'VARIABLES MODELO'!$B$15,IF(A67&lt;=80,'VARIABLES MODELO'!$B$16,IF(A67&lt;=120,'VARIABLES MODELO'!$B$17,'VARIABLES MODELO'!$B$18)))))</f>
        <v>0.03</v>
      </c>
      <c r="G67" s="5">
        <f t="shared" si="7"/>
        <v>2.2649999999999988</v>
      </c>
      <c r="H67" s="78"/>
      <c r="I67" s="5">
        <f t="shared" si="8"/>
        <v>2.2649999999999988</v>
      </c>
      <c r="J67" s="51">
        <f>IF(A67&lt;=15,'VARIABLES MODELO'!$B$8,'VARIABLES MODELO'!$B$10)</f>
        <v>509.36</v>
      </c>
      <c r="K67" s="51">
        <f t="shared" si="9"/>
        <v>1153.7003999999995</v>
      </c>
      <c r="L67" s="51">
        <f>SUM($K$4:K67)</f>
        <v>70714.224565999961</v>
      </c>
      <c r="M67" s="3">
        <f>MROUND(I67*'VARIABLES MODELO'!$B$5,30)</f>
        <v>60</v>
      </c>
      <c r="N67" s="3">
        <f>IF(A67&lt;=15,MROUND(M67/'VARIABLES MODELO'!$B$11,0.5),MROUND(M67/'VARIABLES MODELO'!$B$12,0.5))</f>
        <v>2</v>
      </c>
      <c r="O67" s="3">
        <f>IF(A67&lt;=15,SUM($M$4:M67)/'VARIABLES MODELO'!$B$11,SUM($M$19:M67)/'VARIABLES MODELO'!$B$12)</f>
        <v>98</v>
      </c>
    </row>
    <row r="68" spans="1:15" x14ac:dyDescent="0.45">
      <c r="A68">
        <v>65</v>
      </c>
      <c r="B68" s="50">
        <f>'VARIABLES MODELO'!$B$4+A68-1</f>
        <v>46349</v>
      </c>
      <c r="C68" t="str">
        <f t="shared" ref="C68:C99" si="10">IF(A68&lt;=15,"Hiper-Precoz 23%","Precoz 19%")</f>
        <v>Precoz 19%</v>
      </c>
      <c r="D68" s="3">
        <f t="shared" si="5"/>
        <v>76.099999999999952</v>
      </c>
      <c r="E68" s="3">
        <f>PRECOZ!C55</f>
        <v>0.6</v>
      </c>
      <c r="F68" s="77">
        <f>IF(A68&lt;=5,'VARIABLES MODELO'!$B$13,IF(A68&lt;=15,'VARIABLES MODELO'!$B$14,IF(A68&lt;=50,'VARIABLES MODELO'!$B$15,IF(A68&lt;=80,'VARIABLES MODELO'!$B$16,IF(A68&lt;=120,'VARIABLES MODELO'!$B$17,'VARIABLES MODELO'!$B$18)))))</f>
        <v>0.03</v>
      </c>
      <c r="G68" s="5">
        <f t="shared" ref="G68:G99" si="11">D68*F68</f>
        <v>2.2829999999999986</v>
      </c>
      <c r="H68" s="78"/>
      <c r="I68" s="5">
        <f t="shared" ref="I68:I99" si="12">IF(H68="",G68,H68)</f>
        <v>2.2829999999999986</v>
      </c>
      <c r="J68" s="51">
        <f>IF(A68&lt;=15,'VARIABLES MODELO'!$B$8,'VARIABLES MODELO'!$B$10)</f>
        <v>509.36</v>
      </c>
      <c r="K68" s="51">
        <f t="shared" ref="K68:K99" si="13">I68*J68</f>
        <v>1162.8688799999993</v>
      </c>
      <c r="L68" s="51">
        <f>SUM($K$4:K68)</f>
        <v>71877.093445999955</v>
      </c>
      <c r="M68" s="3">
        <f>MROUND(I68*'VARIABLES MODELO'!$B$5,30)</f>
        <v>90</v>
      </c>
      <c r="N68" s="3">
        <f>IF(A68&lt;=15,MROUND(M68/'VARIABLES MODELO'!$B$11,0.5),MROUND(M68/'VARIABLES MODELO'!$B$12,0.5))</f>
        <v>3</v>
      </c>
      <c r="O68" s="3">
        <f>IF(A68&lt;=15,SUM($M$4:M68)/'VARIABLES MODELO'!$B$11,SUM($M$19:M68)/'VARIABLES MODELO'!$B$12)</f>
        <v>101</v>
      </c>
    </row>
    <row r="69" spans="1:15" x14ac:dyDescent="0.45">
      <c r="A69">
        <v>66</v>
      </c>
      <c r="B69" s="50">
        <f>'VARIABLES MODELO'!$B$4+A69-1</f>
        <v>46350</v>
      </c>
      <c r="C69" t="str">
        <f t="shared" si="10"/>
        <v>Precoz 19%</v>
      </c>
      <c r="D69" s="3">
        <f t="shared" si="5"/>
        <v>76.699999999999946</v>
      </c>
      <c r="E69" s="3">
        <f>PRECOZ!C56</f>
        <v>0.6</v>
      </c>
      <c r="F69" s="77">
        <f>IF(A69&lt;=5,'VARIABLES MODELO'!$B$13,IF(A69&lt;=15,'VARIABLES MODELO'!$B$14,IF(A69&lt;=50,'VARIABLES MODELO'!$B$15,IF(A69&lt;=80,'VARIABLES MODELO'!$B$16,IF(A69&lt;=120,'VARIABLES MODELO'!$B$17,'VARIABLES MODELO'!$B$18)))))</f>
        <v>0.03</v>
      </c>
      <c r="G69" s="5">
        <f t="shared" si="11"/>
        <v>2.3009999999999984</v>
      </c>
      <c r="H69" s="78"/>
      <c r="I69" s="5">
        <f t="shared" si="12"/>
        <v>2.3009999999999984</v>
      </c>
      <c r="J69" s="51">
        <f>IF(A69&lt;=15,'VARIABLES MODELO'!$B$8,'VARIABLES MODELO'!$B$10)</f>
        <v>509.36</v>
      </c>
      <c r="K69" s="51">
        <f t="shared" si="13"/>
        <v>1172.0373599999991</v>
      </c>
      <c r="L69" s="51">
        <f>SUM($K$4:K69)</f>
        <v>73049.130805999957</v>
      </c>
      <c r="M69" s="3">
        <f>MROUND(I69*'VARIABLES MODELO'!$B$5,30)</f>
        <v>90</v>
      </c>
      <c r="N69" s="3">
        <f>IF(A69&lt;=15,MROUND(M69/'VARIABLES MODELO'!$B$11,0.5),MROUND(M69/'VARIABLES MODELO'!$B$12,0.5))</f>
        <v>3</v>
      </c>
      <c r="O69" s="3">
        <f>IF(A69&lt;=15,SUM($M$4:M69)/'VARIABLES MODELO'!$B$11,SUM($M$19:M69)/'VARIABLES MODELO'!$B$12)</f>
        <v>104</v>
      </c>
    </row>
    <row r="70" spans="1:15" x14ac:dyDescent="0.45">
      <c r="A70">
        <v>67</v>
      </c>
      <c r="B70" s="50">
        <f>'VARIABLES MODELO'!$B$4+A70-1</f>
        <v>46351</v>
      </c>
      <c r="C70" t="str">
        <f t="shared" si="10"/>
        <v>Precoz 19%</v>
      </c>
      <c r="D70" s="3">
        <f t="shared" si="5"/>
        <v>77.29999999999994</v>
      </c>
      <c r="E70" s="3">
        <f>PRECOZ!C57</f>
        <v>0.6</v>
      </c>
      <c r="F70" s="77">
        <f>IF(A70&lt;=5,'VARIABLES MODELO'!$B$13,IF(A70&lt;=15,'VARIABLES MODELO'!$B$14,IF(A70&lt;=50,'VARIABLES MODELO'!$B$15,IF(A70&lt;=80,'VARIABLES MODELO'!$B$16,IF(A70&lt;=120,'VARIABLES MODELO'!$B$17,'VARIABLES MODELO'!$B$18)))))</f>
        <v>0.03</v>
      </c>
      <c r="G70" s="5">
        <f t="shared" si="11"/>
        <v>2.3189999999999982</v>
      </c>
      <c r="H70" s="78"/>
      <c r="I70" s="5">
        <f t="shared" si="12"/>
        <v>2.3189999999999982</v>
      </c>
      <c r="J70" s="51">
        <f>IF(A70&lt;=15,'VARIABLES MODELO'!$B$8,'VARIABLES MODELO'!$B$10)</f>
        <v>509.36</v>
      </c>
      <c r="K70" s="51">
        <f t="shared" si="13"/>
        <v>1181.2058399999992</v>
      </c>
      <c r="L70" s="51">
        <f>SUM($K$4:K70)</f>
        <v>74230.336645999952</v>
      </c>
      <c r="M70" s="3">
        <f>MROUND(I70*'VARIABLES MODELO'!$B$5,30)</f>
        <v>90</v>
      </c>
      <c r="N70" s="3">
        <f>IF(A70&lt;=15,MROUND(M70/'VARIABLES MODELO'!$B$11,0.5),MROUND(M70/'VARIABLES MODELO'!$B$12,0.5))</f>
        <v>3</v>
      </c>
      <c r="O70" s="3">
        <f>IF(A70&lt;=15,SUM($M$4:M70)/'VARIABLES MODELO'!$B$11,SUM($M$19:M70)/'VARIABLES MODELO'!$B$12)</f>
        <v>107</v>
      </c>
    </row>
    <row r="71" spans="1:15" x14ac:dyDescent="0.45">
      <c r="A71">
        <v>68</v>
      </c>
      <c r="B71" s="50">
        <f>'VARIABLES MODELO'!$B$4+A71-1</f>
        <v>46352</v>
      </c>
      <c r="C71" t="str">
        <f t="shared" si="10"/>
        <v>Precoz 19%</v>
      </c>
      <c r="D71" s="3">
        <f t="shared" si="5"/>
        <v>77.899999999999935</v>
      </c>
      <c r="E71" s="3">
        <f>PRECOZ!C58</f>
        <v>0.6</v>
      </c>
      <c r="F71" s="77">
        <f>IF(A71&lt;=5,'VARIABLES MODELO'!$B$13,IF(A71&lt;=15,'VARIABLES MODELO'!$B$14,IF(A71&lt;=50,'VARIABLES MODELO'!$B$15,IF(A71&lt;=80,'VARIABLES MODELO'!$B$16,IF(A71&lt;=120,'VARIABLES MODELO'!$B$17,'VARIABLES MODELO'!$B$18)))))</f>
        <v>0.03</v>
      </c>
      <c r="G71" s="5">
        <f t="shared" si="11"/>
        <v>2.336999999999998</v>
      </c>
      <c r="H71" s="78"/>
      <c r="I71" s="5">
        <f t="shared" si="12"/>
        <v>2.336999999999998</v>
      </c>
      <c r="J71" s="51">
        <f>IF(A71&lt;=15,'VARIABLES MODELO'!$B$8,'VARIABLES MODELO'!$B$10)</f>
        <v>509.36</v>
      </c>
      <c r="K71" s="51">
        <f t="shared" si="13"/>
        <v>1190.374319999999</v>
      </c>
      <c r="L71" s="51">
        <f>SUM($K$4:K71)</f>
        <v>75420.710965999955</v>
      </c>
      <c r="M71" s="3">
        <f>MROUND(I71*'VARIABLES MODELO'!$B$5,30)</f>
        <v>90</v>
      </c>
      <c r="N71" s="3">
        <f>IF(A71&lt;=15,MROUND(M71/'VARIABLES MODELO'!$B$11,0.5),MROUND(M71/'VARIABLES MODELO'!$B$12,0.5))</f>
        <v>3</v>
      </c>
      <c r="O71" s="3">
        <f>IF(A71&lt;=15,SUM($M$4:M71)/'VARIABLES MODELO'!$B$11,SUM($M$19:M71)/'VARIABLES MODELO'!$B$12)</f>
        <v>110</v>
      </c>
    </row>
    <row r="72" spans="1:15" x14ac:dyDescent="0.45">
      <c r="A72">
        <v>69</v>
      </c>
      <c r="B72" s="50">
        <f>'VARIABLES MODELO'!$B$4+A72-1</f>
        <v>46353</v>
      </c>
      <c r="C72" t="str">
        <f t="shared" si="10"/>
        <v>Precoz 19%</v>
      </c>
      <c r="D72" s="3">
        <f t="shared" si="5"/>
        <v>78.499999999999929</v>
      </c>
      <c r="E72" s="3">
        <f>PRECOZ!C59</f>
        <v>0.6</v>
      </c>
      <c r="F72" s="77">
        <f>IF(A72&lt;=5,'VARIABLES MODELO'!$B$13,IF(A72&lt;=15,'VARIABLES MODELO'!$B$14,IF(A72&lt;=50,'VARIABLES MODELO'!$B$15,IF(A72&lt;=80,'VARIABLES MODELO'!$B$16,IF(A72&lt;=120,'VARIABLES MODELO'!$B$17,'VARIABLES MODELO'!$B$18)))))</f>
        <v>0.03</v>
      </c>
      <c r="G72" s="5">
        <f t="shared" si="11"/>
        <v>2.3549999999999978</v>
      </c>
      <c r="H72" s="78"/>
      <c r="I72" s="5">
        <f t="shared" si="12"/>
        <v>2.3549999999999978</v>
      </c>
      <c r="J72" s="51">
        <f>IF(A72&lt;=15,'VARIABLES MODELO'!$B$8,'VARIABLES MODELO'!$B$10)</f>
        <v>509.36</v>
      </c>
      <c r="K72" s="51">
        <f t="shared" si="13"/>
        <v>1199.5427999999988</v>
      </c>
      <c r="L72" s="51">
        <f>SUM($K$4:K72)</f>
        <v>76620.253765999951</v>
      </c>
      <c r="M72" s="3">
        <f>MROUND(I72*'VARIABLES MODELO'!$B$5,30)</f>
        <v>90</v>
      </c>
      <c r="N72" s="3">
        <f>IF(A72&lt;=15,MROUND(M72/'VARIABLES MODELO'!$B$11,0.5),MROUND(M72/'VARIABLES MODELO'!$B$12,0.5))</f>
        <v>3</v>
      </c>
      <c r="O72" s="3">
        <f>IF(A72&lt;=15,SUM($M$4:M72)/'VARIABLES MODELO'!$B$11,SUM($M$19:M72)/'VARIABLES MODELO'!$B$12)</f>
        <v>113</v>
      </c>
    </row>
    <row r="73" spans="1:15" x14ac:dyDescent="0.45">
      <c r="A73">
        <v>70</v>
      </c>
      <c r="B73" s="50">
        <f>'VARIABLES MODELO'!$B$4+A73-1</f>
        <v>46354</v>
      </c>
      <c r="C73" t="str">
        <f t="shared" si="10"/>
        <v>Precoz 19%</v>
      </c>
      <c r="D73" s="3">
        <f t="shared" si="5"/>
        <v>79.099999999999923</v>
      </c>
      <c r="E73" s="3">
        <f>PRECOZ!C60</f>
        <v>0.6</v>
      </c>
      <c r="F73" s="77">
        <f>IF(A73&lt;=5,'VARIABLES MODELO'!$B$13,IF(A73&lt;=15,'VARIABLES MODELO'!$B$14,IF(A73&lt;=50,'VARIABLES MODELO'!$B$15,IF(A73&lt;=80,'VARIABLES MODELO'!$B$16,IF(A73&lt;=120,'VARIABLES MODELO'!$B$17,'VARIABLES MODELO'!$B$18)))))</f>
        <v>0.03</v>
      </c>
      <c r="G73" s="5">
        <f t="shared" si="11"/>
        <v>2.3729999999999976</v>
      </c>
      <c r="H73" s="78"/>
      <c r="I73" s="5">
        <f t="shared" si="12"/>
        <v>2.3729999999999976</v>
      </c>
      <c r="J73" s="51">
        <f>IF(A73&lt;=15,'VARIABLES MODELO'!$B$8,'VARIABLES MODELO'!$B$10)</f>
        <v>509.36</v>
      </c>
      <c r="K73" s="51">
        <f t="shared" si="13"/>
        <v>1208.7112799999989</v>
      </c>
      <c r="L73" s="51">
        <f>SUM($K$4:K73)</f>
        <v>77828.965045999954</v>
      </c>
      <c r="M73" s="3">
        <f>MROUND(I73*'VARIABLES MODELO'!$B$5,30)</f>
        <v>90</v>
      </c>
      <c r="N73" s="3">
        <f>IF(A73&lt;=15,MROUND(M73/'VARIABLES MODELO'!$B$11,0.5),MROUND(M73/'VARIABLES MODELO'!$B$12,0.5))</f>
        <v>3</v>
      </c>
      <c r="O73" s="3">
        <f>IF(A73&lt;=15,SUM($M$4:M73)/'VARIABLES MODELO'!$B$11,SUM($M$19:M73)/'VARIABLES MODELO'!$B$12)</f>
        <v>116</v>
      </c>
    </row>
    <row r="74" spans="1:15" x14ac:dyDescent="0.45">
      <c r="A74">
        <v>71</v>
      </c>
      <c r="B74" s="50">
        <f>'VARIABLES MODELO'!$B$4+A74-1</f>
        <v>46355</v>
      </c>
      <c r="C74" t="str">
        <f t="shared" si="10"/>
        <v>Precoz 19%</v>
      </c>
      <c r="D74" s="3">
        <f t="shared" si="5"/>
        <v>79.699999999999918</v>
      </c>
      <c r="E74" s="3">
        <f>PRECOZ!C61</f>
        <v>0.6</v>
      </c>
      <c r="F74" s="77">
        <f>IF(A74&lt;=5,'VARIABLES MODELO'!$B$13,IF(A74&lt;=15,'VARIABLES MODELO'!$B$14,IF(A74&lt;=50,'VARIABLES MODELO'!$B$15,IF(A74&lt;=80,'VARIABLES MODELO'!$B$16,IF(A74&lt;=120,'VARIABLES MODELO'!$B$17,'VARIABLES MODELO'!$B$18)))))</f>
        <v>0.03</v>
      </c>
      <c r="G74" s="5">
        <f t="shared" si="11"/>
        <v>2.3909999999999973</v>
      </c>
      <c r="H74" s="78"/>
      <c r="I74" s="5">
        <f t="shared" si="12"/>
        <v>2.3909999999999973</v>
      </c>
      <c r="J74" s="51">
        <f>IF(A74&lt;=15,'VARIABLES MODELO'!$B$8,'VARIABLES MODELO'!$B$10)</f>
        <v>509.36</v>
      </c>
      <c r="K74" s="51">
        <f t="shared" si="13"/>
        <v>1217.8797599999987</v>
      </c>
      <c r="L74" s="51">
        <f>SUM($K$4:K74)</f>
        <v>79046.84480599995</v>
      </c>
      <c r="M74" s="3">
        <f>MROUND(I74*'VARIABLES MODELO'!$B$5,30)</f>
        <v>90</v>
      </c>
      <c r="N74" s="3">
        <f>IF(A74&lt;=15,MROUND(M74/'VARIABLES MODELO'!$B$11,0.5),MROUND(M74/'VARIABLES MODELO'!$B$12,0.5))</f>
        <v>3</v>
      </c>
      <c r="O74" s="3">
        <f>IF(A74&lt;=15,SUM($M$4:M74)/'VARIABLES MODELO'!$B$11,SUM($M$19:M74)/'VARIABLES MODELO'!$B$12)</f>
        <v>119</v>
      </c>
    </row>
    <row r="75" spans="1:15" x14ac:dyDescent="0.45">
      <c r="A75">
        <v>72</v>
      </c>
      <c r="B75" s="50">
        <f>'VARIABLES MODELO'!$B$4+A75-1</f>
        <v>46356</v>
      </c>
      <c r="C75" t="str">
        <f t="shared" si="10"/>
        <v>Precoz 19%</v>
      </c>
      <c r="D75" s="3">
        <f t="shared" si="5"/>
        <v>80.299999999999912</v>
      </c>
      <c r="E75" s="3">
        <f>PRECOZ!C62</f>
        <v>0.6</v>
      </c>
      <c r="F75" s="77">
        <f>IF(A75&lt;=5,'VARIABLES MODELO'!$B$13,IF(A75&lt;=15,'VARIABLES MODELO'!$B$14,IF(A75&lt;=50,'VARIABLES MODELO'!$B$15,IF(A75&lt;=80,'VARIABLES MODELO'!$B$16,IF(A75&lt;=120,'VARIABLES MODELO'!$B$17,'VARIABLES MODELO'!$B$18)))))</f>
        <v>0.03</v>
      </c>
      <c r="G75" s="5">
        <f t="shared" si="11"/>
        <v>2.4089999999999971</v>
      </c>
      <c r="H75" s="78"/>
      <c r="I75" s="5">
        <f t="shared" si="12"/>
        <v>2.4089999999999971</v>
      </c>
      <c r="J75" s="51">
        <f>IF(A75&lt;=15,'VARIABLES MODELO'!$B$8,'VARIABLES MODELO'!$B$10)</f>
        <v>509.36</v>
      </c>
      <c r="K75" s="51">
        <f t="shared" si="13"/>
        <v>1227.0482399999985</v>
      </c>
      <c r="L75" s="51">
        <f>SUM($K$4:K75)</f>
        <v>80273.893045999954</v>
      </c>
      <c r="M75" s="3">
        <f>MROUND(I75*'VARIABLES MODELO'!$B$5,30)</f>
        <v>90</v>
      </c>
      <c r="N75" s="3">
        <f>IF(A75&lt;=15,MROUND(M75/'VARIABLES MODELO'!$B$11,0.5),MROUND(M75/'VARIABLES MODELO'!$B$12,0.5))</f>
        <v>3</v>
      </c>
      <c r="O75" s="3">
        <f>IF(A75&lt;=15,SUM($M$4:M75)/'VARIABLES MODELO'!$B$11,SUM($M$19:M75)/'VARIABLES MODELO'!$B$12)</f>
        <v>122</v>
      </c>
    </row>
    <row r="76" spans="1:15" x14ac:dyDescent="0.45">
      <c r="A76">
        <v>73</v>
      </c>
      <c r="B76" s="50">
        <f>'VARIABLES MODELO'!$B$4+A76-1</f>
        <v>46357</v>
      </c>
      <c r="C76" t="str">
        <f t="shared" si="10"/>
        <v>Precoz 19%</v>
      </c>
      <c r="D76" s="3">
        <f t="shared" si="5"/>
        <v>80.899999999999906</v>
      </c>
      <c r="E76" s="3">
        <f>PRECOZ!C63</f>
        <v>0.6</v>
      </c>
      <c r="F76" s="77">
        <f>IF(A76&lt;=5,'VARIABLES MODELO'!$B$13,IF(A76&lt;=15,'VARIABLES MODELO'!$B$14,IF(A76&lt;=50,'VARIABLES MODELO'!$B$15,IF(A76&lt;=80,'VARIABLES MODELO'!$B$16,IF(A76&lt;=120,'VARIABLES MODELO'!$B$17,'VARIABLES MODELO'!$B$18)))))</f>
        <v>0.03</v>
      </c>
      <c r="G76" s="5">
        <f t="shared" si="11"/>
        <v>2.4269999999999969</v>
      </c>
      <c r="H76" s="78"/>
      <c r="I76" s="5">
        <f t="shared" si="12"/>
        <v>2.4269999999999969</v>
      </c>
      <c r="J76" s="51">
        <f>IF(A76&lt;=15,'VARIABLES MODELO'!$B$8,'VARIABLES MODELO'!$B$10)</f>
        <v>509.36</v>
      </c>
      <c r="K76" s="51">
        <f t="shared" si="13"/>
        <v>1236.2167199999985</v>
      </c>
      <c r="L76" s="51">
        <f>SUM($K$4:K76)</f>
        <v>81510.10976599995</v>
      </c>
      <c r="M76" s="3">
        <f>MROUND(I76*'VARIABLES MODELO'!$B$5,30)</f>
        <v>90</v>
      </c>
      <c r="N76" s="3">
        <f>IF(A76&lt;=15,MROUND(M76/'VARIABLES MODELO'!$B$11,0.5),MROUND(M76/'VARIABLES MODELO'!$B$12,0.5))</f>
        <v>3</v>
      </c>
      <c r="O76" s="3">
        <f>IF(A76&lt;=15,SUM($M$4:M76)/'VARIABLES MODELO'!$B$11,SUM($M$19:M76)/'VARIABLES MODELO'!$B$12)</f>
        <v>125</v>
      </c>
    </row>
    <row r="77" spans="1:15" x14ac:dyDescent="0.45">
      <c r="A77">
        <v>74</v>
      </c>
      <c r="B77" s="50">
        <f>'VARIABLES MODELO'!$B$4+A77-1</f>
        <v>46358</v>
      </c>
      <c r="C77" t="str">
        <f t="shared" si="10"/>
        <v>Precoz 19%</v>
      </c>
      <c r="D77" s="3">
        <f t="shared" si="5"/>
        <v>81.499999999999901</v>
      </c>
      <c r="E77" s="3">
        <f>PRECOZ!C64</f>
        <v>0.6</v>
      </c>
      <c r="F77" s="77">
        <f>IF(A77&lt;=5,'VARIABLES MODELO'!$B$13,IF(A77&lt;=15,'VARIABLES MODELO'!$B$14,IF(A77&lt;=50,'VARIABLES MODELO'!$B$15,IF(A77&lt;=80,'VARIABLES MODELO'!$B$16,IF(A77&lt;=120,'VARIABLES MODELO'!$B$17,'VARIABLES MODELO'!$B$18)))))</f>
        <v>0.03</v>
      </c>
      <c r="G77" s="5">
        <f t="shared" si="11"/>
        <v>2.4449999999999967</v>
      </c>
      <c r="H77" s="78"/>
      <c r="I77" s="5">
        <f t="shared" si="12"/>
        <v>2.4449999999999967</v>
      </c>
      <c r="J77" s="51">
        <f>IF(A77&lt;=15,'VARIABLES MODELO'!$B$8,'VARIABLES MODELO'!$B$10)</f>
        <v>509.36</v>
      </c>
      <c r="K77" s="51">
        <f t="shared" si="13"/>
        <v>1245.3851999999983</v>
      </c>
      <c r="L77" s="51">
        <f>SUM($K$4:K77)</f>
        <v>82755.494965999955</v>
      </c>
      <c r="M77" s="3">
        <f>MROUND(I77*'VARIABLES MODELO'!$B$5,30)</f>
        <v>90</v>
      </c>
      <c r="N77" s="3">
        <f>IF(A77&lt;=15,MROUND(M77/'VARIABLES MODELO'!$B$11,0.5),MROUND(M77/'VARIABLES MODELO'!$B$12,0.5))</f>
        <v>3</v>
      </c>
      <c r="O77" s="3">
        <f>IF(A77&lt;=15,SUM($M$4:M77)/'VARIABLES MODELO'!$B$11,SUM($M$19:M77)/'VARIABLES MODELO'!$B$12)</f>
        <v>128</v>
      </c>
    </row>
    <row r="78" spans="1:15" x14ac:dyDescent="0.45">
      <c r="A78">
        <v>75</v>
      </c>
      <c r="B78" s="50">
        <f>'VARIABLES MODELO'!$B$4+A78-1</f>
        <v>46359</v>
      </c>
      <c r="C78" t="str">
        <f t="shared" si="10"/>
        <v>Precoz 19%</v>
      </c>
      <c r="D78" s="3">
        <f t="shared" si="5"/>
        <v>82.099999999999895</v>
      </c>
      <c r="E78" s="3">
        <f>PRECOZ!C65</f>
        <v>0.6</v>
      </c>
      <c r="F78" s="77">
        <f>IF(A78&lt;=5,'VARIABLES MODELO'!$B$13,IF(A78&lt;=15,'VARIABLES MODELO'!$B$14,IF(A78&lt;=50,'VARIABLES MODELO'!$B$15,IF(A78&lt;=80,'VARIABLES MODELO'!$B$16,IF(A78&lt;=120,'VARIABLES MODELO'!$B$17,'VARIABLES MODELO'!$B$18)))))</f>
        <v>0.03</v>
      </c>
      <c r="G78" s="5">
        <f t="shared" si="11"/>
        <v>2.462999999999997</v>
      </c>
      <c r="H78" s="78"/>
      <c r="I78" s="5">
        <f t="shared" si="12"/>
        <v>2.462999999999997</v>
      </c>
      <c r="J78" s="51">
        <f>IF(A78&lt;=15,'VARIABLES MODELO'!$B$8,'VARIABLES MODELO'!$B$10)</f>
        <v>509.36</v>
      </c>
      <c r="K78" s="51">
        <f t="shared" si="13"/>
        <v>1254.5536799999984</v>
      </c>
      <c r="L78" s="51">
        <f>SUM($K$4:K78)</f>
        <v>84010.048645999952</v>
      </c>
      <c r="M78" s="3">
        <f>MROUND(I78*'VARIABLES MODELO'!$B$5,30)</f>
        <v>90</v>
      </c>
      <c r="N78" s="3">
        <f>IF(A78&lt;=15,MROUND(M78/'VARIABLES MODELO'!$B$11,0.5),MROUND(M78/'VARIABLES MODELO'!$B$12,0.5))</f>
        <v>3</v>
      </c>
      <c r="O78" s="3">
        <f>IF(A78&lt;=15,SUM($M$4:M78)/'VARIABLES MODELO'!$B$11,SUM($M$19:M78)/'VARIABLES MODELO'!$B$12)</f>
        <v>131</v>
      </c>
    </row>
    <row r="79" spans="1:15" x14ac:dyDescent="0.45">
      <c r="A79">
        <v>76</v>
      </c>
      <c r="B79" s="50">
        <f>'VARIABLES MODELO'!$B$4+A79-1</f>
        <v>46360</v>
      </c>
      <c r="C79" t="str">
        <f t="shared" si="10"/>
        <v>Precoz 19%</v>
      </c>
      <c r="D79" s="3">
        <f t="shared" si="5"/>
        <v>82.699999999999889</v>
      </c>
      <c r="E79" s="3">
        <f>PRECOZ!C66</f>
        <v>0.6</v>
      </c>
      <c r="F79" s="77">
        <f>IF(A79&lt;=5,'VARIABLES MODELO'!$B$13,IF(A79&lt;=15,'VARIABLES MODELO'!$B$14,IF(A79&lt;=50,'VARIABLES MODELO'!$B$15,IF(A79&lt;=80,'VARIABLES MODELO'!$B$16,IF(A79&lt;=120,'VARIABLES MODELO'!$B$17,'VARIABLES MODELO'!$B$18)))))</f>
        <v>0.03</v>
      </c>
      <c r="G79" s="5">
        <f t="shared" si="11"/>
        <v>2.4809999999999968</v>
      </c>
      <c r="H79" s="78"/>
      <c r="I79" s="5">
        <f t="shared" si="12"/>
        <v>2.4809999999999968</v>
      </c>
      <c r="J79" s="51">
        <f>IF(A79&lt;=15,'VARIABLES MODELO'!$B$8,'VARIABLES MODELO'!$B$10)</f>
        <v>509.36</v>
      </c>
      <c r="K79" s="51">
        <f t="shared" si="13"/>
        <v>1263.7221599999984</v>
      </c>
      <c r="L79" s="51">
        <f>SUM($K$4:K79)</f>
        <v>85273.770805999957</v>
      </c>
      <c r="M79" s="3">
        <f>MROUND(I79*'VARIABLES MODELO'!$B$5,30)</f>
        <v>90</v>
      </c>
      <c r="N79" s="3">
        <f>IF(A79&lt;=15,MROUND(M79/'VARIABLES MODELO'!$B$11,0.5),MROUND(M79/'VARIABLES MODELO'!$B$12,0.5))</f>
        <v>3</v>
      </c>
      <c r="O79" s="3">
        <f>IF(A79&lt;=15,SUM($M$4:M79)/'VARIABLES MODELO'!$B$11,SUM($M$19:M79)/'VARIABLES MODELO'!$B$12)</f>
        <v>134</v>
      </c>
    </row>
    <row r="80" spans="1:15" x14ac:dyDescent="0.45">
      <c r="A80">
        <v>77</v>
      </c>
      <c r="B80" s="50">
        <f>'VARIABLES MODELO'!$B$4+A80-1</f>
        <v>46361</v>
      </c>
      <c r="C80" t="str">
        <f t="shared" si="10"/>
        <v>Precoz 19%</v>
      </c>
      <c r="D80" s="3">
        <f t="shared" si="5"/>
        <v>83.299999999999883</v>
      </c>
      <c r="E80" s="3">
        <f>PRECOZ!C67</f>
        <v>0.6</v>
      </c>
      <c r="F80" s="77">
        <f>IF(A80&lt;=5,'VARIABLES MODELO'!$B$13,IF(A80&lt;=15,'VARIABLES MODELO'!$B$14,IF(A80&lt;=50,'VARIABLES MODELO'!$B$15,IF(A80&lt;=80,'VARIABLES MODELO'!$B$16,IF(A80&lt;=120,'VARIABLES MODELO'!$B$17,'VARIABLES MODELO'!$B$18)))))</f>
        <v>0.03</v>
      </c>
      <c r="G80" s="5">
        <f t="shared" si="11"/>
        <v>2.4989999999999966</v>
      </c>
      <c r="H80" s="78"/>
      <c r="I80" s="5">
        <f t="shared" si="12"/>
        <v>2.4989999999999966</v>
      </c>
      <c r="J80" s="51">
        <f>IF(A80&lt;=15,'VARIABLES MODELO'!$B$8,'VARIABLES MODELO'!$B$10)</f>
        <v>509.36</v>
      </c>
      <c r="K80" s="51">
        <f t="shared" si="13"/>
        <v>1272.8906399999983</v>
      </c>
      <c r="L80" s="51">
        <f>SUM($K$4:K80)</f>
        <v>86546.661445999955</v>
      </c>
      <c r="M80" s="3">
        <f>MROUND(I80*'VARIABLES MODELO'!$B$5,30)</f>
        <v>90</v>
      </c>
      <c r="N80" s="3">
        <f>IF(A80&lt;=15,MROUND(M80/'VARIABLES MODELO'!$B$11,0.5),MROUND(M80/'VARIABLES MODELO'!$B$12,0.5))</f>
        <v>3</v>
      </c>
      <c r="O80" s="3">
        <f>IF(A80&lt;=15,SUM($M$4:M80)/'VARIABLES MODELO'!$B$11,SUM($M$19:M80)/'VARIABLES MODELO'!$B$12)</f>
        <v>137</v>
      </c>
    </row>
    <row r="81" spans="1:15" x14ac:dyDescent="0.45">
      <c r="A81">
        <v>78</v>
      </c>
      <c r="B81" s="50">
        <f>'VARIABLES MODELO'!$B$4+A81-1</f>
        <v>46362</v>
      </c>
      <c r="C81" t="str">
        <f t="shared" si="10"/>
        <v>Precoz 19%</v>
      </c>
      <c r="D81" s="3">
        <f t="shared" si="5"/>
        <v>83.899999999999878</v>
      </c>
      <c r="E81" s="3">
        <f>PRECOZ!C68</f>
        <v>0.6</v>
      </c>
      <c r="F81" s="77">
        <f>IF(A81&lt;=5,'VARIABLES MODELO'!$B$13,IF(A81&lt;=15,'VARIABLES MODELO'!$B$14,IF(A81&lt;=50,'VARIABLES MODELO'!$B$15,IF(A81&lt;=80,'VARIABLES MODELO'!$B$16,IF(A81&lt;=120,'VARIABLES MODELO'!$B$17,'VARIABLES MODELO'!$B$18)))))</f>
        <v>0.03</v>
      </c>
      <c r="G81" s="5">
        <f t="shared" si="11"/>
        <v>2.5169999999999964</v>
      </c>
      <c r="H81" s="78"/>
      <c r="I81" s="5">
        <f t="shared" si="12"/>
        <v>2.5169999999999964</v>
      </c>
      <c r="J81" s="51">
        <f>IF(A81&lt;=15,'VARIABLES MODELO'!$B$8,'VARIABLES MODELO'!$B$10)</f>
        <v>509.36</v>
      </c>
      <c r="K81" s="51">
        <f t="shared" si="13"/>
        <v>1282.0591199999981</v>
      </c>
      <c r="L81" s="51">
        <f>SUM($K$4:K81)</f>
        <v>87828.720565999945</v>
      </c>
      <c r="M81" s="3">
        <f>MROUND(I81*'VARIABLES MODELO'!$B$5,30)</f>
        <v>90</v>
      </c>
      <c r="N81" s="3">
        <f>IF(A81&lt;=15,MROUND(M81/'VARIABLES MODELO'!$B$11,0.5),MROUND(M81/'VARIABLES MODELO'!$B$12,0.5))</f>
        <v>3</v>
      </c>
      <c r="O81" s="3">
        <f>IF(A81&lt;=15,SUM($M$4:M81)/'VARIABLES MODELO'!$B$11,SUM($M$19:M81)/'VARIABLES MODELO'!$B$12)</f>
        <v>140</v>
      </c>
    </row>
    <row r="82" spans="1:15" x14ac:dyDescent="0.45">
      <c r="A82">
        <v>79</v>
      </c>
      <c r="B82" s="50">
        <f>'VARIABLES MODELO'!$B$4+A82-1</f>
        <v>46363</v>
      </c>
      <c r="C82" t="str">
        <f t="shared" si="10"/>
        <v>Precoz 19%</v>
      </c>
      <c r="D82" s="3">
        <f t="shared" si="5"/>
        <v>84.499999999999872</v>
      </c>
      <c r="E82" s="3">
        <f>PRECOZ!C69</f>
        <v>0.6</v>
      </c>
      <c r="F82" s="77">
        <f>IF(A82&lt;=5,'VARIABLES MODELO'!$B$13,IF(A82&lt;=15,'VARIABLES MODELO'!$B$14,IF(A82&lt;=50,'VARIABLES MODELO'!$B$15,IF(A82&lt;=80,'VARIABLES MODELO'!$B$16,IF(A82&lt;=120,'VARIABLES MODELO'!$B$17,'VARIABLES MODELO'!$B$18)))))</f>
        <v>0.03</v>
      </c>
      <c r="G82" s="5">
        <f t="shared" si="11"/>
        <v>2.5349999999999961</v>
      </c>
      <c r="H82" s="78"/>
      <c r="I82" s="5">
        <f t="shared" si="12"/>
        <v>2.5349999999999961</v>
      </c>
      <c r="J82" s="51">
        <f>IF(A82&lt;=15,'VARIABLES MODELO'!$B$8,'VARIABLES MODELO'!$B$10)</f>
        <v>509.36</v>
      </c>
      <c r="K82" s="51">
        <f t="shared" si="13"/>
        <v>1291.2275999999981</v>
      </c>
      <c r="L82" s="51">
        <f>SUM($K$4:K82)</f>
        <v>89119.948165999944</v>
      </c>
      <c r="M82" s="3">
        <f>MROUND(I82*'VARIABLES MODELO'!$B$5,30)</f>
        <v>90</v>
      </c>
      <c r="N82" s="3">
        <f>IF(A82&lt;=15,MROUND(M82/'VARIABLES MODELO'!$B$11,0.5),MROUND(M82/'VARIABLES MODELO'!$B$12,0.5))</f>
        <v>3</v>
      </c>
      <c r="O82" s="3">
        <f>IF(A82&lt;=15,SUM($M$4:M82)/'VARIABLES MODELO'!$B$11,SUM($M$19:M82)/'VARIABLES MODELO'!$B$12)</f>
        <v>143</v>
      </c>
    </row>
    <row r="83" spans="1:15" x14ac:dyDescent="0.45">
      <c r="A83">
        <v>80</v>
      </c>
      <c r="B83" s="50">
        <f>'VARIABLES MODELO'!$B$4+A83-1</f>
        <v>46364</v>
      </c>
      <c r="C83" t="str">
        <f t="shared" si="10"/>
        <v>Precoz 19%</v>
      </c>
      <c r="D83" s="3">
        <f t="shared" ref="D83:D146" si="14">+D82+E82</f>
        <v>85.099999999999866</v>
      </c>
      <c r="E83" s="3">
        <f>PRECOZ!C70</f>
        <v>0.6</v>
      </c>
      <c r="F83" s="77">
        <f>IF(A83&lt;=5,'VARIABLES MODELO'!$B$13,IF(A83&lt;=15,'VARIABLES MODELO'!$B$14,IF(A83&lt;=50,'VARIABLES MODELO'!$B$15,IF(A83&lt;=80,'VARIABLES MODELO'!$B$16,IF(A83&lt;=120,'VARIABLES MODELO'!$B$17,'VARIABLES MODELO'!$B$18)))))</f>
        <v>0.03</v>
      </c>
      <c r="G83" s="5">
        <f t="shared" si="11"/>
        <v>2.5529999999999959</v>
      </c>
      <c r="H83" s="78"/>
      <c r="I83" s="5">
        <f t="shared" si="12"/>
        <v>2.5529999999999959</v>
      </c>
      <c r="J83" s="51">
        <f>IF(A83&lt;=15,'VARIABLES MODELO'!$B$8,'VARIABLES MODELO'!$B$10)</f>
        <v>509.36</v>
      </c>
      <c r="K83" s="51">
        <f t="shared" si="13"/>
        <v>1300.3960799999979</v>
      </c>
      <c r="L83" s="51">
        <f>SUM($K$4:K83)</f>
        <v>90420.344245999935</v>
      </c>
      <c r="M83" s="3">
        <f>MROUND(I83*'VARIABLES MODELO'!$B$5,30)</f>
        <v>90</v>
      </c>
      <c r="N83" s="3">
        <f>IF(A83&lt;=15,MROUND(M83/'VARIABLES MODELO'!$B$11,0.5),MROUND(M83/'VARIABLES MODELO'!$B$12,0.5))</f>
        <v>3</v>
      </c>
      <c r="O83" s="3">
        <f>IF(A83&lt;=15,SUM($M$4:M83)/'VARIABLES MODELO'!$B$11,SUM($M$19:M83)/'VARIABLES MODELO'!$B$12)</f>
        <v>146</v>
      </c>
    </row>
    <row r="84" spans="1:15" x14ac:dyDescent="0.45">
      <c r="A84">
        <v>81</v>
      </c>
      <c r="B84" s="50">
        <f>'VARIABLES MODELO'!$B$4+A84-1</f>
        <v>46365</v>
      </c>
      <c r="C84" t="str">
        <f t="shared" si="10"/>
        <v>Precoz 19%</v>
      </c>
      <c r="D84" s="3">
        <f t="shared" si="14"/>
        <v>85.699999999999861</v>
      </c>
      <c r="E84" s="3">
        <f>PRECOZ!C71</f>
        <v>0.6</v>
      </c>
      <c r="F84" s="77">
        <f>IF(A84&lt;=5,'VARIABLES MODELO'!$B$13,IF(A84&lt;=15,'VARIABLES MODELO'!$B$14,IF(A84&lt;=50,'VARIABLES MODELO'!$B$15,IF(A84&lt;=80,'VARIABLES MODELO'!$B$16,IF(A84&lt;=120,'VARIABLES MODELO'!$B$17,'VARIABLES MODELO'!$B$18)))))</f>
        <v>2.8000000000000001E-2</v>
      </c>
      <c r="G84" s="5">
        <f t="shared" si="11"/>
        <v>2.399599999999996</v>
      </c>
      <c r="H84" s="78"/>
      <c r="I84" s="5">
        <f t="shared" si="12"/>
        <v>2.399599999999996</v>
      </c>
      <c r="J84" s="51">
        <f>IF(A84&lt;=15,'VARIABLES MODELO'!$B$8,'VARIABLES MODELO'!$B$10)</f>
        <v>509.36</v>
      </c>
      <c r="K84" s="51">
        <f t="shared" si="13"/>
        <v>1222.260255999998</v>
      </c>
      <c r="L84" s="51">
        <f>SUM($K$4:K84)</f>
        <v>91642.604501999929</v>
      </c>
      <c r="M84" s="3">
        <f>MROUND(I84*'VARIABLES MODELO'!$B$5,30)</f>
        <v>90</v>
      </c>
      <c r="N84" s="3">
        <f>IF(A84&lt;=15,MROUND(M84/'VARIABLES MODELO'!$B$11,0.5),MROUND(M84/'VARIABLES MODELO'!$B$12,0.5))</f>
        <v>3</v>
      </c>
      <c r="O84" s="3">
        <f>IF(A84&lt;=15,SUM($M$4:M84)/'VARIABLES MODELO'!$B$11,SUM($M$19:M84)/'VARIABLES MODELO'!$B$12)</f>
        <v>149</v>
      </c>
    </row>
    <row r="85" spans="1:15" x14ac:dyDescent="0.45">
      <c r="A85">
        <v>82</v>
      </c>
      <c r="B85" s="50">
        <f>'VARIABLES MODELO'!$B$4+A85-1</f>
        <v>46366</v>
      </c>
      <c r="C85" t="str">
        <f t="shared" si="10"/>
        <v>Precoz 19%</v>
      </c>
      <c r="D85" s="3">
        <f t="shared" si="14"/>
        <v>86.299999999999855</v>
      </c>
      <c r="E85" s="3">
        <f>PRECOZ!C72</f>
        <v>0.6</v>
      </c>
      <c r="F85" s="77">
        <f>IF(A85&lt;=5,'VARIABLES MODELO'!$B$13,IF(A85&lt;=15,'VARIABLES MODELO'!$B$14,IF(A85&lt;=50,'VARIABLES MODELO'!$B$15,IF(A85&lt;=80,'VARIABLES MODELO'!$B$16,IF(A85&lt;=120,'VARIABLES MODELO'!$B$17,'VARIABLES MODELO'!$B$18)))))</f>
        <v>2.8000000000000001E-2</v>
      </c>
      <c r="G85" s="5">
        <f t="shared" si="11"/>
        <v>2.4163999999999959</v>
      </c>
      <c r="H85" s="78"/>
      <c r="I85" s="5">
        <f t="shared" si="12"/>
        <v>2.4163999999999959</v>
      </c>
      <c r="J85" s="51">
        <f>IF(A85&lt;=15,'VARIABLES MODELO'!$B$8,'VARIABLES MODELO'!$B$10)</f>
        <v>509.36</v>
      </c>
      <c r="K85" s="51">
        <f t="shared" si="13"/>
        <v>1230.8175039999978</v>
      </c>
      <c r="L85" s="51">
        <f>SUM($K$4:K85)</f>
        <v>92873.422005999921</v>
      </c>
      <c r="M85" s="3">
        <f>MROUND(I85*'VARIABLES MODELO'!$B$5,30)</f>
        <v>90</v>
      </c>
      <c r="N85" s="3">
        <f>IF(A85&lt;=15,MROUND(M85/'VARIABLES MODELO'!$B$11,0.5),MROUND(M85/'VARIABLES MODELO'!$B$12,0.5))</f>
        <v>3</v>
      </c>
      <c r="O85" s="3">
        <f>IF(A85&lt;=15,SUM($M$4:M85)/'VARIABLES MODELO'!$B$11,SUM($M$19:M85)/'VARIABLES MODELO'!$B$12)</f>
        <v>152</v>
      </c>
    </row>
    <row r="86" spans="1:15" x14ac:dyDescent="0.45">
      <c r="A86">
        <v>83</v>
      </c>
      <c r="B86" s="50">
        <f>'VARIABLES MODELO'!$B$4+A86-1</f>
        <v>46367</v>
      </c>
      <c r="C86" t="str">
        <f t="shared" si="10"/>
        <v>Precoz 19%</v>
      </c>
      <c r="D86" s="3">
        <f t="shared" si="14"/>
        <v>86.899999999999849</v>
      </c>
      <c r="E86" s="3">
        <f>PRECOZ!C73</f>
        <v>0.6</v>
      </c>
      <c r="F86" s="77">
        <f>IF(A86&lt;=5,'VARIABLES MODELO'!$B$13,IF(A86&lt;=15,'VARIABLES MODELO'!$B$14,IF(A86&lt;=50,'VARIABLES MODELO'!$B$15,IF(A86&lt;=80,'VARIABLES MODELO'!$B$16,IF(A86&lt;=120,'VARIABLES MODELO'!$B$17,'VARIABLES MODELO'!$B$18)))))</f>
        <v>2.8000000000000001E-2</v>
      </c>
      <c r="G86" s="5">
        <f t="shared" si="11"/>
        <v>2.4331999999999958</v>
      </c>
      <c r="H86" s="78"/>
      <c r="I86" s="5">
        <f t="shared" si="12"/>
        <v>2.4331999999999958</v>
      </c>
      <c r="J86" s="51">
        <f>IF(A86&lt;=15,'VARIABLES MODELO'!$B$8,'VARIABLES MODELO'!$B$10)</f>
        <v>509.36</v>
      </c>
      <c r="K86" s="51">
        <f t="shared" si="13"/>
        <v>1239.3747519999979</v>
      </c>
      <c r="L86" s="51">
        <f>SUM($K$4:K86)</f>
        <v>94112.796757999924</v>
      </c>
      <c r="M86" s="3">
        <f>MROUND(I86*'VARIABLES MODELO'!$B$5,30)</f>
        <v>90</v>
      </c>
      <c r="N86" s="3">
        <f>IF(A86&lt;=15,MROUND(M86/'VARIABLES MODELO'!$B$11,0.5),MROUND(M86/'VARIABLES MODELO'!$B$12,0.5))</f>
        <v>3</v>
      </c>
      <c r="O86" s="3">
        <f>IF(A86&lt;=15,SUM($M$4:M86)/'VARIABLES MODELO'!$B$11,SUM($M$19:M86)/'VARIABLES MODELO'!$B$12)</f>
        <v>155</v>
      </c>
    </row>
    <row r="87" spans="1:15" x14ac:dyDescent="0.45">
      <c r="A87">
        <v>84</v>
      </c>
      <c r="B87" s="50">
        <f>'VARIABLES MODELO'!$B$4+A87-1</f>
        <v>46368</v>
      </c>
      <c r="C87" t="str">
        <f t="shared" si="10"/>
        <v>Precoz 19%</v>
      </c>
      <c r="D87" s="3">
        <f t="shared" si="14"/>
        <v>87.499999999999844</v>
      </c>
      <c r="E87" s="3">
        <f>PRECOZ!C74</f>
        <v>0.6</v>
      </c>
      <c r="F87" s="77">
        <f>IF(A87&lt;=5,'VARIABLES MODELO'!$B$13,IF(A87&lt;=15,'VARIABLES MODELO'!$B$14,IF(A87&lt;=50,'VARIABLES MODELO'!$B$15,IF(A87&lt;=80,'VARIABLES MODELO'!$B$16,IF(A87&lt;=120,'VARIABLES MODELO'!$B$17,'VARIABLES MODELO'!$B$18)))))</f>
        <v>2.8000000000000001E-2</v>
      </c>
      <c r="G87" s="5">
        <f t="shared" si="11"/>
        <v>2.4499999999999957</v>
      </c>
      <c r="H87" s="78"/>
      <c r="I87" s="5">
        <f t="shared" si="12"/>
        <v>2.4499999999999957</v>
      </c>
      <c r="J87" s="51">
        <f>IF(A87&lt;=15,'VARIABLES MODELO'!$B$8,'VARIABLES MODELO'!$B$10)</f>
        <v>509.36</v>
      </c>
      <c r="K87" s="51">
        <f t="shared" si="13"/>
        <v>1247.931999999998</v>
      </c>
      <c r="L87" s="51">
        <f>SUM($K$4:K87)</f>
        <v>95360.728757999925</v>
      </c>
      <c r="M87" s="3">
        <f>MROUND(I87*'VARIABLES MODELO'!$B$5,30)</f>
        <v>90</v>
      </c>
      <c r="N87" s="3">
        <f>IF(A87&lt;=15,MROUND(M87/'VARIABLES MODELO'!$B$11,0.5),MROUND(M87/'VARIABLES MODELO'!$B$12,0.5))</f>
        <v>3</v>
      </c>
      <c r="O87" s="3">
        <f>IF(A87&lt;=15,SUM($M$4:M87)/'VARIABLES MODELO'!$B$11,SUM($M$19:M87)/'VARIABLES MODELO'!$B$12)</f>
        <v>158</v>
      </c>
    </row>
    <row r="88" spans="1:15" x14ac:dyDescent="0.45">
      <c r="A88">
        <v>85</v>
      </c>
      <c r="B88" s="50">
        <f>'VARIABLES MODELO'!$B$4+A88-1</f>
        <v>46369</v>
      </c>
      <c r="C88" t="str">
        <f t="shared" si="10"/>
        <v>Precoz 19%</v>
      </c>
      <c r="D88" s="3">
        <f t="shared" si="14"/>
        <v>88.099999999999838</v>
      </c>
      <c r="E88" s="3">
        <f>PRECOZ!C75</f>
        <v>0.6</v>
      </c>
      <c r="F88" s="77">
        <f>IF(A88&lt;=5,'VARIABLES MODELO'!$B$13,IF(A88&lt;=15,'VARIABLES MODELO'!$B$14,IF(A88&lt;=50,'VARIABLES MODELO'!$B$15,IF(A88&lt;=80,'VARIABLES MODELO'!$B$16,IF(A88&lt;=120,'VARIABLES MODELO'!$B$17,'VARIABLES MODELO'!$B$18)))))</f>
        <v>2.8000000000000001E-2</v>
      </c>
      <c r="G88" s="5">
        <f t="shared" si="11"/>
        <v>2.4667999999999957</v>
      </c>
      <c r="H88" s="78"/>
      <c r="I88" s="5">
        <f t="shared" si="12"/>
        <v>2.4667999999999957</v>
      </c>
      <c r="J88" s="51">
        <f>IF(A88&lt;=15,'VARIABLES MODELO'!$B$8,'VARIABLES MODELO'!$B$10)</f>
        <v>509.36</v>
      </c>
      <c r="K88" s="51">
        <f t="shared" si="13"/>
        <v>1256.4892479999978</v>
      </c>
      <c r="L88" s="51">
        <f>SUM($K$4:K88)</f>
        <v>96617.218005999923</v>
      </c>
      <c r="M88" s="3">
        <f>MROUND(I88*'VARIABLES MODELO'!$B$5,30)</f>
        <v>90</v>
      </c>
      <c r="N88" s="3">
        <f>IF(A88&lt;=15,MROUND(M88/'VARIABLES MODELO'!$B$11,0.5),MROUND(M88/'VARIABLES MODELO'!$B$12,0.5))</f>
        <v>3</v>
      </c>
      <c r="O88" s="3">
        <f>IF(A88&lt;=15,SUM($M$4:M88)/'VARIABLES MODELO'!$B$11,SUM($M$19:M88)/'VARIABLES MODELO'!$B$12)</f>
        <v>161</v>
      </c>
    </row>
    <row r="89" spans="1:15" x14ac:dyDescent="0.45">
      <c r="A89">
        <v>86</v>
      </c>
      <c r="B89" s="50">
        <f>'VARIABLES MODELO'!$B$4+A89-1</f>
        <v>46370</v>
      </c>
      <c r="C89" t="str">
        <f t="shared" si="10"/>
        <v>Precoz 19%</v>
      </c>
      <c r="D89" s="3">
        <f t="shared" si="14"/>
        <v>88.699999999999832</v>
      </c>
      <c r="E89" s="3">
        <f>PRECOZ!C76</f>
        <v>0.6</v>
      </c>
      <c r="F89" s="77">
        <f>IF(A89&lt;=5,'VARIABLES MODELO'!$B$13,IF(A89&lt;=15,'VARIABLES MODELO'!$B$14,IF(A89&lt;=50,'VARIABLES MODELO'!$B$15,IF(A89&lt;=80,'VARIABLES MODELO'!$B$16,IF(A89&lt;=120,'VARIABLES MODELO'!$B$17,'VARIABLES MODELO'!$B$18)))))</f>
        <v>2.8000000000000001E-2</v>
      </c>
      <c r="G89" s="5">
        <f t="shared" si="11"/>
        <v>2.4835999999999951</v>
      </c>
      <c r="H89" s="78"/>
      <c r="I89" s="5">
        <f t="shared" si="12"/>
        <v>2.4835999999999951</v>
      </c>
      <c r="J89" s="51">
        <f>IF(A89&lt;=15,'VARIABLES MODELO'!$B$8,'VARIABLES MODELO'!$B$10)</f>
        <v>509.36</v>
      </c>
      <c r="K89" s="51">
        <f t="shared" si="13"/>
        <v>1265.0464959999977</v>
      </c>
      <c r="L89" s="51">
        <f>SUM($K$4:K89)</f>
        <v>97882.264501999918</v>
      </c>
      <c r="M89" s="3">
        <f>MROUND(I89*'VARIABLES MODELO'!$B$5,30)</f>
        <v>90</v>
      </c>
      <c r="N89" s="3">
        <f>IF(A89&lt;=15,MROUND(M89/'VARIABLES MODELO'!$B$11,0.5),MROUND(M89/'VARIABLES MODELO'!$B$12,0.5))</f>
        <v>3</v>
      </c>
      <c r="O89" s="3">
        <f>IF(A89&lt;=15,SUM($M$4:M89)/'VARIABLES MODELO'!$B$11,SUM($M$19:M89)/'VARIABLES MODELO'!$B$12)</f>
        <v>164</v>
      </c>
    </row>
    <row r="90" spans="1:15" x14ac:dyDescent="0.45">
      <c r="A90">
        <v>87</v>
      </c>
      <c r="B90" s="50">
        <f>'VARIABLES MODELO'!$B$4+A90-1</f>
        <v>46371</v>
      </c>
      <c r="C90" t="str">
        <f t="shared" si="10"/>
        <v>Precoz 19%</v>
      </c>
      <c r="D90" s="3">
        <f t="shared" si="14"/>
        <v>89.299999999999827</v>
      </c>
      <c r="E90" s="3">
        <f>PRECOZ!C77</f>
        <v>0.65</v>
      </c>
      <c r="F90" s="77">
        <f>IF(A90&lt;=5,'VARIABLES MODELO'!$B$13,IF(A90&lt;=15,'VARIABLES MODELO'!$B$14,IF(A90&lt;=50,'VARIABLES MODELO'!$B$15,IF(A90&lt;=80,'VARIABLES MODELO'!$B$16,IF(A90&lt;=120,'VARIABLES MODELO'!$B$17,'VARIABLES MODELO'!$B$18)))))</f>
        <v>2.8000000000000001E-2</v>
      </c>
      <c r="G90" s="5">
        <f t="shared" si="11"/>
        <v>2.5003999999999951</v>
      </c>
      <c r="H90" s="78"/>
      <c r="I90" s="5">
        <f t="shared" si="12"/>
        <v>2.5003999999999951</v>
      </c>
      <c r="J90" s="51">
        <f>IF(A90&lt;=15,'VARIABLES MODELO'!$B$8,'VARIABLES MODELO'!$B$10)</f>
        <v>509.36</v>
      </c>
      <c r="K90" s="51">
        <f t="shared" si="13"/>
        <v>1273.6037439999975</v>
      </c>
      <c r="L90" s="51">
        <f>SUM($K$4:K90)</f>
        <v>99155.868245999911</v>
      </c>
      <c r="M90" s="3">
        <f>MROUND(I90*'VARIABLES MODELO'!$B$5,30)</f>
        <v>90</v>
      </c>
      <c r="N90" s="3">
        <f>IF(A90&lt;=15,MROUND(M90/'VARIABLES MODELO'!$B$11,0.5),MROUND(M90/'VARIABLES MODELO'!$B$12,0.5))</f>
        <v>3</v>
      </c>
      <c r="O90" s="3">
        <f>IF(A90&lt;=15,SUM($M$4:M90)/'VARIABLES MODELO'!$B$11,SUM($M$19:M90)/'VARIABLES MODELO'!$B$12)</f>
        <v>167</v>
      </c>
    </row>
    <row r="91" spans="1:15" x14ac:dyDescent="0.45">
      <c r="A91">
        <v>88</v>
      </c>
      <c r="B91" s="50">
        <f>'VARIABLES MODELO'!$B$4+A91-1</f>
        <v>46372</v>
      </c>
      <c r="C91" t="str">
        <f t="shared" si="10"/>
        <v>Precoz 19%</v>
      </c>
      <c r="D91" s="3">
        <f t="shared" si="14"/>
        <v>89.949999999999832</v>
      </c>
      <c r="E91" s="3">
        <f>PRECOZ!C78</f>
        <v>0.65</v>
      </c>
      <c r="F91" s="77">
        <f>IF(A91&lt;=5,'VARIABLES MODELO'!$B$13,IF(A91&lt;=15,'VARIABLES MODELO'!$B$14,IF(A91&lt;=50,'VARIABLES MODELO'!$B$15,IF(A91&lt;=80,'VARIABLES MODELO'!$B$16,IF(A91&lt;=120,'VARIABLES MODELO'!$B$17,'VARIABLES MODELO'!$B$18)))))</f>
        <v>2.8000000000000001E-2</v>
      </c>
      <c r="G91" s="5">
        <f t="shared" si="11"/>
        <v>2.5185999999999953</v>
      </c>
      <c r="H91" s="78"/>
      <c r="I91" s="5">
        <f t="shared" si="12"/>
        <v>2.5185999999999953</v>
      </c>
      <c r="J91" s="51">
        <f>IF(A91&lt;=15,'VARIABLES MODELO'!$B$8,'VARIABLES MODELO'!$B$10)</f>
        <v>509.36</v>
      </c>
      <c r="K91" s="51">
        <f t="shared" si="13"/>
        <v>1282.8740959999977</v>
      </c>
      <c r="L91" s="51">
        <f>SUM($K$4:K91)</f>
        <v>100438.74234199991</v>
      </c>
      <c r="M91" s="3">
        <f>MROUND(I91*'VARIABLES MODELO'!$B$5,30)</f>
        <v>90</v>
      </c>
      <c r="N91" s="3">
        <f>IF(A91&lt;=15,MROUND(M91/'VARIABLES MODELO'!$B$11,0.5),MROUND(M91/'VARIABLES MODELO'!$B$12,0.5))</f>
        <v>3</v>
      </c>
      <c r="O91" s="3">
        <f>IF(A91&lt;=15,SUM($M$4:M91)/'VARIABLES MODELO'!$B$11,SUM($M$19:M91)/'VARIABLES MODELO'!$B$12)</f>
        <v>170</v>
      </c>
    </row>
    <row r="92" spans="1:15" x14ac:dyDescent="0.45">
      <c r="A92">
        <v>89</v>
      </c>
      <c r="B92" s="50">
        <f>'VARIABLES MODELO'!$B$4+A92-1</f>
        <v>46373</v>
      </c>
      <c r="C92" t="str">
        <f t="shared" si="10"/>
        <v>Precoz 19%</v>
      </c>
      <c r="D92" s="3">
        <f t="shared" si="14"/>
        <v>90.599999999999838</v>
      </c>
      <c r="E92" s="3">
        <f>PRECOZ!C79</f>
        <v>0.65</v>
      </c>
      <c r="F92" s="77">
        <f>IF(A92&lt;=5,'VARIABLES MODELO'!$B$13,IF(A92&lt;=15,'VARIABLES MODELO'!$B$14,IF(A92&lt;=50,'VARIABLES MODELO'!$B$15,IF(A92&lt;=80,'VARIABLES MODELO'!$B$16,IF(A92&lt;=120,'VARIABLES MODELO'!$B$17,'VARIABLES MODELO'!$B$18)))))</f>
        <v>2.8000000000000001E-2</v>
      </c>
      <c r="G92" s="5">
        <f t="shared" si="11"/>
        <v>2.5367999999999955</v>
      </c>
      <c r="H92" s="78"/>
      <c r="I92" s="5">
        <f t="shared" si="12"/>
        <v>2.5367999999999955</v>
      </c>
      <c r="J92" s="51">
        <f>IF(A92&lt;=15,'VARIABLES MODELO'!$B$8,'VARIABLES MODELO'!$B$10)</f>
        <v>509.36</v>
      </c>
      <c r="K92" s="51">
        <f t="shared" si="13"/>
        <v>1292.1444479999977</v>
      </c>
      <c r="L92" s="51">
        <f>SUM($K$4:K92)</f>
        <v>101730.8867899999</v>
      </c>
      <c r="M92" s="3">
        <f>MROUND(I92*'VARIABLES MODELO'!$B$5,30)</f>
        <v>90</v>
      </c>
      <c r="N92" s="3">
        <f>IF(A92&lt;=15,MROUND(M92/'VARIABLES MODELO'!$B$11,0.5),MROUND(M92/'VARIABLES MODELO'!$B$12,0.5))</f>
        <v>3</v>
      </c>
      <c r="O92" s="3">
        <f>IF(A92&lt;=15,SUM($M$4:M92)/'VARIABLES MODELO'!$B$11,SUM($M$19:M92)/'VARIABLES MODELO'!$B$12)</f>
        <v>173</v>
      </c>
    </row>
    <row r="93" spans="1:15" x14ac:dyDescent="0.45">
      <c r="A93">
        <v>90</v>
      </c>
      <c r="B93" s="50">
        <f>'VARIABLES MODELO'!$B$4+A93-1</f>
        <v>46374</v>
      </c>
      <c r="C93" t="str">
        <f t="shared" si="10"/>
        <v>Precoz 19%</v>
      </c>
      <c r="D93" s="3">
        <f t="shared" si="14"/>
        <v>91.249999999999844</v>
      </c>
      <c r="E93" s="3">
        <f>PRECOZ!C80</f>
        <v>0.65</v>
      </c>
      <c r="F93" s="77">
        <f>IF(A93&lt;=5,'VARIABLES MODELO'!$B$13,IF(A93&lt;=15,'VARIABLES MODELO'!$B$14,IF(A93&lt;=50,'VARIABLES MODELO'!$B$15,IF(A93&lt;=80,'VARIABLES MODELO'!$B$16,IF(A93&lt;=120,'VARIABLES MODELO'!$B$17,'VARIABLES MODELO'!$B$18)))))</f>
        <v>2.8000000000000001E-2</v>
      </c>
      <c r="G93" s="5">
        <f t="shared" si="11"/>
        <v>2.5549999999999957</v>
      </c>
      <c r="H93" s="78"/>
      <c r="I93" s="5">
        <f t="shared" si="12"/>
        <v>2.5549999999999957</v>
      </c>
      <c r="J93" s="51">
        <f>IF(A93&lt;=15,'VARIABLES MODELO'!$B$8,'VARIABLES MODELO'!$B$10)</f>
        <v>509.36</v>
      </c>
      <c r="K93" s="51">
        <f t="shared" si="13"/>
        <v>1301.414799999998</v>
      </c>
      <c r="L93" s="51">
        <f>SUM($K$4:K93)</f>
        <v>103032.3015899999</v>
      </c>
      <c r="M93" s="3">
        <f>MROUND(I93*'VARIABLES MODELO'!$B$5,30)</f>
        <v>90</v>
      </c>
      <c r="N93" s="3">
        <f>IF(A93&lt;=15,MROUND(M93/'VARIABLES MODELO'!$B$11,0.5),MROUND(M93/'VARIABLES MODELO'!$B$12,0.5))</f>
        <v>3</v>
      </c>
      <c r="O93" s="3">
        <f>IF(A93&lt;=15,SUM($M$4:M93)/'VARIABLES MODELO'!$B$11,SUM($M$19:M93)/'VARIABLES MODELO'!$B$12)</f>
        <v>176</v>
      </c>
    </row>
    <row r="94" spans="1:15" x14ac:dyDescent="0.45">
      <c r="A94">
        <v>91</v>
      </c>
      <c r="B94" s="50">
        <f>'VARIABLES MODELO'!$B$4+A94-1</f>
        <v>46375</v>
      </c>
      <c r="C94" t="str">
        <f t="shared" si="10"/>
        <v>Precoz 19%</v>
      </c>
      <c r="D94" s="3">
        <f t="shared" si="14"/>
        <v>91.899999999999849</v>
      </c>
      <c r="E94" s="3">
        <f>PRECOZ!C81</f>
        <v>0.65</v>
      </c>
      <c r="F94" s="77">
        <f>IF(A94&lt;=5,'VARIABLES MODELO'!$B$13,IF(A94&lt;=15,'VARIABLES MODELO'!$B$14,IF(A94&lt;=50,'VARIABLES MODELO'!$B$15,IF(A94&lt;=80,'VARIABLES MODELO'!$B$16,IF(A94&lt;=120,'VARIABLES MODELO'!$B$17,'VARIABLES MODELO'!$B$18)))))</f>
        <v>2.8000000000000001E-2</v>
      </c>
      <c r="G94" s="5">
        <f t="shared" si="11"/>
        <v>2.5731999999999959</v>
      </c>
      <c r="H94" s="78"/>
      <c r="I94" s="5">
        <f t="shared" si="12"/>
        <v>2.5731999999999959</v>
      </c>
      <c r="J94" s="51">
        <f>IF(A94&lt;=15,'VARIABLES MODELO'!$B$8,'VARIABLES MODELO'!$B$10)</f>
        <v>509.36</v>
      </c>
      <c r="K94" s="51">
        <f t="shared" si="13"/>
        <v>1310.685151999998</v>
      </c>
      <c r="L94" s="51">
        <f>SUM($K$4:K94)</f>
        <v>104342.98674199989</v>
      </c>
      <c r="M94" s="3">
        <f>MROUND(I94*'VARIABLES MODELO'!$B$5,30)</f>
        <v>90</v>
      </c>
      <c r="N94" s="3">
        <f>IF(A94&lt;=15,MROUND(M94/'VARIABLES MODELO'!$B$11,0.5),MROUND(M94/'VARIABLES MODELO'!$B$12,0.5))</f>
        <v>3</v>
      </c>
      <c r="O94" s="3">
        <f>IF(A94&lt;=15,SUM($M$4:M94)/'VARIABLES MODELO'!$B$11,SUM($M$19:M94)/'VARIABLES MODELO'!$B$12)</f>
        <v>179</v>
      </c>
    </row>
    <row r="95" spans="1:15" x14ac:dyDescent="0.45">
      <c r="A95">
        <v>92</v>
      </c>
      <c r="B95" s="50">
        <f>'VARIABLES MODELO'!$B$4+A95-1</f>
        <v>46376</v>
      </c>
      <c r="C95" t="str">
        <f t="shared" si="10"/>
        <v>Precoz 19%</v>
      </c>
      <c r="D95" s="3">
        <f t="shared" si="14"/>
        <v>92.549999999999855</v>
      </c>
      <c r="E95" s="3">
        <f>PRECOZ!C82</f>
        <v>0.65</v>
      </c>
      <c r="F95" s="77">
        <f>IF(A95&lt;=5,'VARIABLES MODELO'!$B$13,IF(A95&lt;=15,'VARIABLES MODELO'!$B$14,IF(A95&lt;=50,'VARIABLES MODELO'!$B$15,IF(A95&lt;=80,'VARIABLES MODELO'!$B$16,IF(A95&lt;=120,'VARIABLES MODELO'!$B$17,'VARIABLES MODELO'!$B$18)))))</f>
        <v>2.8000000000000001E-2</v>
      </c>
      <c r="G95" s="5">
        <f t="shared" si="11"/>
        <v>2.5913999999999962</v>
      </c>
      <c r="H95" s="78"/>
      <c r="I95" s="5">
        <f t="shared" si="12"/>
        <v>2.5913999999999962</v>
      </c>
      <c r="J95" s="51">
        <f>IF(A95&lt;=15,'VARIABLES MODELO'!$B$8,'VARIABLES MODELO'!$B$10)</f>
        <v>509.36</v>
      </c>
      <c r="K95" s="51">
        <f t="shared" si="13"/>
        <v>1319.955503999998</v>
      </c>
      <c r="L95" s="51">
        <f>SUM($K$4:K95)</f>
        <v>105662.94224599989</v>
      </c>
      <c r="M95" s="3">
        <f>MROUND(I95*'VARIABLES MODELO'!$B$5,30)</f>
        <v>90</v>
      </c>
      <c r="N95" s="3">
        <f>IF(A95&lt;=15,MROUND(M95/'VARIABLES MODELO'!$B$11,0.5),MROUND(M95/'VARIABLES MODELO'!$B$12,0.5))</f>
        <v>3</v>
      </c>
      <c r="O95" s="3">
        <f>IF(A95&lt;=15,SUM($M$4:M95)/'VARIABLES MODELO'!$B$11,SUM($M$19:M95)/'VARIABLES MODELO'!$B$12)</f>
        <v>182</v>
      </c>
    </row>
    <row r="96" spans="1:15" x14ac:dyDescent="0.45">
      <c r="A96">
        <v>93</v>
      </c>
      <c r="B96" s="50">
        <f>'VARIABLES MODELO'!$B$4+A96-1</f>
        <v>46377</v>
      </c>
      <c r="C96" t="str">
        <f t="shared" si="10"/>
        <v>Precoz 19%</v>
      </c>
      <c r="D96" s="3">
        <f t="shared" si="14"/>
        <v>93.199999999999861</v>
      </c>
      <c r="E96" s="3">
        <f>PRECOZ!C83</f>
        <v>0.65</v>
      </c>
      <c r="F96" s="77">
        <f>IF(A96&lt;=5,'VARIABLES MODELO'!$B$13,IF(A96&lt;=15,'VARIABLES MODELO'!$B$14,IF(A96&lt;=50,'VARIABLES MODELO'!$B$15,IF(A96&lt;=80,'VARIABLES MODELO'!$B$16,IF(A96&lt;=120,'VARIABLES MODELO'!$B$17,'VARIABLES MODELO'!$B$18)))))</f>
        <v>2.8000000000000001E-2</v>
      </c>
      <c r="G96" s="5">
        <f t="shared" si="11"/>
        <v>2.6095999999999964</v>
      </c>
      <c r="H96" s="78"/>
      <c r="I96" s="5">
        <f t="shared" si="12"/>
        <v>2.6095999999999964</v>
      </c>
      <c r="J96" s="51">
        <f>IF(A96&lt;=15,'VARIABLES MODELO'!$B$8,'VARIABLES MODELO'!$B$10)</f>
        <v>509.36</v>
      </c>
      <c r="K96" s="51">
        <f t="shared" si="13"/>
        <v>1329.2258559999982</v>
      </c>
      <c r="L96" s="51">
        <f>SUM($K$4:K96)</f>
        <v>106992.16810199989</v>
      </c>
      <c r="M96" s="3">
        <f>MROUND(I96*'VARIABLES MODELO'!$B$5,30)</f>
        <v>90</v>
      </c>
      <c r="N96" s="3">
        <f>IF(A96&lt;=15,MROUND(M96/'VARIABLES MODELO'!$B$11,0.5),MROUND(M96/'VARIABLES MODELO'!$B$12,0.5))</f>
        <v>3</v>
      </c>
      <c r="O96" s="3">
        <f>IF(A96&lt;=15,SUM($M$4:M96)/'VARIABLES MODELO'!$B$11,SUM($M$19:M96)/'VARIABLES MODELO'!$B$12)</f>
        <v>185</v>
      </c>
    </row>
    <row r="97" spans="1:15" x14ac:dyDescent="0.45">
      <c r="A97">
        <v>94</v>
      </c>
      <c r="B97" s="50">
        <f>'VARIABLES MODELO'!$B$4+A97-1</f>
        <v>46378</v>
      </c>
      <c r="C97" t="str">
        <f t="shared" si="10"/>
        <v>Precoz 19%</v>
      </c>
      <c r="D97" s="3">
        <f t="shared" si="14"/>
        <v>93.849999999999866</v>
      </c>
      <c r="E97" s="3">
        <f>PRECOZ!C84</f>
        <v>0.65</v>
      </c>
      <c r="F97" s="77">
        <f>IF(A97&lt;=5,'VARIABLES MODELO'!$B$13,IF(A97&lt;=15,'VARIABLES MODELO'!$B$14,IF(A97&lt;=50,'VARIABLES MODELO'!$B$15,IF(A97&lt;=80,'VARIABLES MODELO'!$B$16,IF(A97&lt;=120,'VARIABLES MODELO'!$B$17,'VARIABLES MODELO'!$B$18)))))</f>
        <v>2.8000000000000001E-2</v>
      </c>
      <c r="G97" s="5">
        <f t="shared" si="11"/>
        <v>2.6277999999999961</v>
      </c>
      <c r="H97" s="78"/>
      <c r="I97" s="5">
        <f t="shared" si="12"/>
        <v>2.6277999999999961</v>
      </c>
      <c r="J97" s="51">
        <f>IF(A97&lt;=15,'VARIABLES MODELO'!$B$8,'VARIABLES MODELO'!$B$10)</f>
        <v>509.36</v>
      </c>
      <c r="K97" s="51">
        <f t="shared" si="13"/>
        <v>1338.496207999998</v>
      </c>
      <c r="L97" s="51">
        <f>SUM($K$4:K97)</f>
        <v>108330.66430999989</v>
      </c>
      <c r="M97" s="3">
        <f>MROUND(I97*'VARIABLES MODELO'!$B$5,30)</f>
        <v>90</v>
      </c>
      <c r="N97" s="3">
        <f>IF(A97&lt;=15,MROUND(M97/'VARIABLES MODELO'!$B$11,0.5),MROUND(M97/'VARIABLES MODELO'!$B$12,0.5))</f>
        <v>3</v>
      </c>
      <c r="O97" s="3">
        <f>IF(A97&lt;=15,SUM($M$4:M97)/'VARIABLES MODELO'!$B$11,SUM($M$19:M97)/'VARIABLES MODELO'!$B$12)</f>
        <v>188</v>
      </c>
    </row>
    <row r="98" spans="1:15" x14ac:dyDescent="0.45">
      <c r="A98">
        <v>95</v>
      </c>
      <c r="B98" s="50">
        <f>'VARIABLES MODELO'!$B$4+A98-1</f>
        <v>46379</v>
      </c>
      <c r="C98" t="str">
        <f t="shared" si="10"/>
        <v>Precoz 19%</v>
      </c>
      <c r="D98" s="3">
        <f t="shared" si="14"/>
        <v>94.499999999999872</v>
      </c>
      <c r="E98" s="3">
        <f>PRECOZ!C85</f>
        <v>0.65</v>
      </c>
      <c r="F98" s="77">
        <f>IF(A98&lt;=5,'VARIABLES MODELO'!$B$13,IF(A98&lt;=15,'VARIABLES MODELO'!$B$14,IF(A98&lt;=50,'VARIABLES MODELO'!$B$15,IF(A98&lt;=80,'VARIABLES MODELO'!$B$16,IF(A98&lt;=120,'VARIABLES MODELO'!$B$17,'VARIABLES MODELO'!$B$18)))))</f>
        <v>2.8000000000000001E-2</v>
      </c>
      <c r="G98" s="5">
        <f t="shared" si="11"/>
        <v>2.6459999999999964</v>
      </c>
      <c r="H98" s="78"/>
      <c r="I98" s="5">
        <f t="shared" si="12"/>
        <v>2.6459999999999964</v>
      </c>
      <c r="J98" s="51">
        <f>IF(A98&lt;=15,'VARIABLES MODELO'!$B$8,'VARIABLES MODELO'!$B$10)</f>
        <v>509.36</v>
      </c>
      <c r="K98" s="51">
        <f t="shared" si="13"/>
        <v>1347.7665599999982</v>
      </c>
      <c r="L98" s="51">
        <f>SUM($K$4:K98)</f>
        <v>109678.43086999989</v>
      </c>
      <c r="M98" s="3">
        <f>MROUND(I98*'VARIABLES MODELO'!$B$5,30)</f>
        <v>90</v>
      </c>
      <c r="N98" s="3">
        <f>IF(A98&lt;=15,MROUND(M98/'VARIABLES MODELO'!$B$11,0.5),MROUND(M98/'VARIABLES MODELO'!$B$12,0.5))</f>
        <v>3</v>
      </c>
      <c r="O98" s="3">
        <f>IF(A98&lt;=15,SUM($M$4:M98)/'VARIABLES MODELO'!$B$11,SUM($M$19:M98)/'VARIABLES MODELO'!$B$12)</f>
        <v>191</v>
      </c>
    </row>
    <row r="99" spans="1:15" x14ac:dyDescent="0.45">
      <c r="A99">
        <v>96</v>
      </c>
      <c r="B99" s="50">
        <f>'VARIABLES MODELO'!$B$4+A99-1</f>
        <v>46380</v>
      </c>
      <c r="C99" t="str">
        <f t="shared" si="10"/>
        <v>Precoz 19%</v>
      </c>
      <c r="D99" s="3">
        <f t="shared" si="14"/>
        <v>95.149999999999878</v>
      </c>
      <c r="E99" s="3">
        <f>PRECOZ!C86</f>
        <v>0.65</v>
      </c>
      <c r="F99" s="77">
        <f>IF(A99&lt;=5,'VARIABLES MODELO'!$B$13,IF(A99&lt;=15,'VARIABLES MODELO'!$B$14,IF(A99&lt;=50,'VARIABLES MODELO'!$B$15,IF(A99&lt;=80,'VARIABLES MODELO'!$B$16,IF(A99&lt;=120,'VARIABLES MODELO'!$B$17,'VARIABLES MODELO'!$B$18)))))</f>
        <v>2.8000000000000001E-2</v>
      </c>
      <c r="G99" s="5">
        <f t="shared" si="11"/>
        <v>2.6641999999999966</v>
      </c>
      <c r="H99" s="78"/>
      <c r="I99" s="5">
        <f t="shared" si="12"/>
        <v>2.6641999999999966</v>
      </c>
      <c r="J99" s="51">
        <f>IF(A99&lt;=15,'VARIABLES MODELO'!$B$8,'VARIABLES MODELO'!$B$10)</f>
        <v>509.36</v>
      </c>
      <c r="K99" s="51">
        <f t="shared" si="13"/>
        <v>1357.0369119999982</v>
      </c>
      <c r="L99" s="51">
        <f>SUM($K$4:K99)</f>
        <v>111035.46778199989</v>
      </c>
      <c r="M99" s="3">
        <f>MROUND(I99*'VARIABLES MODELO'!$B$5,30)</f>
        <v>90</v>
      </c>
      <c r="N99" s="3">
        <f>IF(A99&lt;=15,MROUND(M99/'VARIABLES MODELO'!$B$11,0.5),MROUND(M99/'VARIABLES MODELO'!$B$12,0.5))</f>
        <v>3</v>
      </c>
      <c r="O99" s="3">
        <f>IF(A99&lt;=15,SUM($M$4:M99)/'VARIABLES MODELO'!$B$11,SUM($M$19:M99)/'VARIABLES MODELO'!$B$12)</f>
        <v>194</v>
      </c>
    </row>
    <row r="100" spans="1:15" x14ac:dyDescent="0.45">
      <c r="A100">
        <v>97</v>
      </c>
      <c r="B100" s="50">
        <f>'VARIABLES MODELO'!$B$4+A100-1</f>
        <v>46381</v>
      </c>
      <c r="C100" t="str">
        <f t="shared" ref="C100:C131" si="15">IF(A100&lt;=15,"Hiper-Precoz 23%","Precoz 19%")</f>
        <v>Precoz 19%</v>
      </c>
      <c r="D100" s="3">
        <f t="shared" si="14"/>
        <v>95.799999999999883</v>
      </c>
      <c r="E100" s="3">
        <f>PRECOZ!C87</f>
        <v>0.65</v>
      </c>
      <c r="F100" s="77">
        <f>IF(A100&lt;=5,'VARIABLES MODELO'!$B$13,IF(A100&lt;=15,'VARIABLES MODELO'!$B$14,IF(A100&lt;=50,'VARIABLES MODELO'!$B$15,IF(A100&lt;=80,'VARIABLES MODELO'!$B$16,IF(A100&lt;=120,'VARIABLES MODELO'!$B$17,'VARIABLES MODELO'!$B$18)))))</f>
        <v>2.8000000000000001E-2</v>
      </c>
      <c r="G100" s="5">
        <f t="shared" ref="G100:G131" si="16">D100*F100</f>
        <v>2.6823999999999968</v>
      </c>
      <c r="H100" s="78"/>
      <c r="I100" s="5">
        <f t="shared" ref="I100:I131" si="17">IF(H100="",G100,H100)</f>
        <v>2.6823999999999968</v>
      </c>
      <c r="J100" s="51">
        <f>IF(A100&lt;=15,'VARIABLES MODELO'!$B$8,'VARIABLES MODELO'!$B$10)</f>
        <v>509.36</v>
      </c>
      <c r="K100" s="51">
        <f t="shared" ref="K100:K131" si="18">I100*J100</f>
        <v>1366.3072639999984</v>
      </c>
      <c r="L100" s="51">
        <f>SUM($K$4:K100)</f>
        <v>112401.77504599989</v>
      </c>
      <c r="M100" s="3">
        <f>MROUND(I100*'VARIABLES MODELO'!$B$5,30)</f>
        <v>90</v>
      </c>
      <c r="N100" s="3">
        <f>IF(A100&lt;=15,MROUND(M100/'VARIABLES MODELO'!$B$11,0.5),MROUND(M100/'VARIABLES MODELO'!$B$12,0.5))</f>
        <v>3</v>
      </c>
      <c r="O100" s="3">
        <f>IF(A100&lt;=15,SUM($M$4:M100)/'VARIABLES MODELO'!$B$11,SUM($M$19:M100)/'VARIABLES MODELO'!$B$12)</f>
        <v>197</v>
      </c>
    </row>
    <row r="101" spans="1:15" x14ac:dyDescent="0.45">
      <c r="A101">
        <v>98</v>
      </c>
      <c r="B101" s="50">
        <f>'VARIABLES MODELO'!$B$4+A101-1</f>
        <v>46382</v>
      </c>
      <c r="C101" t="str">
        <f t="shared" si="15"/>
        <v>Precoz 19%</v>
      </c>
      <c r="D101" s="3">
        <f t="shared" si="14"/>
        <v>96.449999999999889</v>
      </c>
      <c r="E101" s="3">
        <f>PRECOZ!C88</f>
        <v>0.65</v>
      </c>
      <c r="F101" s="77">
        <f>IF(A101&lt;=5,'VARIABLES MODELO'!$B$13,IF(A101&lt;=15,'VARIABLES MODELO'!$B$14,IF(A101&lt;=50,'VARIABLES MODELO'!$B$15,IF(A101&lt;=80,'VARIABLES MODELO'!$B$16,IF(A101&lt;=120,'VARIABLES MODELO'!$B$17,'VARIABLES MODELO'!$B$18)))))</f>
        <v>2.8000000000000001E-2</v>
      </c>
      <c r="G101" s="5">
        <f t="shared" si="16"/>
        <v>2.700599999999997</v>
      </c>
      <c r="H101" s="78"/>
      <c r="I101" s="5">
        <f t="shared" si="17"/>
        <v>2.700599999999997</v>
      </c>
      <c r="J101" s="51">
        <f>IF(A101&lt;=15,'VARIABLES MODELO'!$B$8,'VARIABLES MODELO'!$B$10)</f>
        <v>509.36</v>
      </c>
      <c r="K101" s="51">
        <f t="shared" si="18"/>
        <v>1375.5776159999984</v>
      </c>
      <c r="L101" s="51">
        <f>SUM($K$4:K101)</f>
        <v>113777.35266199989</v>
      </c>
      <c r="M101" s="3">
        <f>MROUND(I101*'VARIABLES MODELO'!$B$5,30)</f>
        <v>90</v>
      </c>
      <c r="N101" s="3">
        <f>IF(A101&lt;=15,MROUND(M101/'VARIABLES MODELO'!$B$11,0.5),MROUND(M101/'VARIABLES MODELO'!$B$12,0.5))</f>
        <v>3</v>
      </c>
      <c r="O101" s="3">
        <f>IF(A101&lt;=15,SUM($M$4:M101)/'VARIABLES MODELO'!$B$11,SUM($M$19:M101)/'VARIABLES MODELO'!$B$12)</f>
        <v>200</v>
      </c>
    </row>
    <row r="102" spans="1:15" x14ac:dyDescent="0.45">
      <c r="A102">
        <v>99</v>
      </c>
      <c r="B102" s="50">
        <f>'VARIABLES MODELO'!$B$4+A102-1</f>
        <v>46383</v>
      </c>
      <c r="C102" t="str">
        <f t="shared" si="15"/>
        <v>Precoz 19%</v>
      </c>
      <c r="D102" s="3">
        <f t="shared" si="14"/>
        <v>97.099999999999895</v>
      </c>
      <c r="E102" s="3">
        <f>PRECOZ!C89</f>
        <v>0.65</v>
      </c>
      <c r="F102" s="77">
        <f>IF(A102&lt;=5,'VARIABLES MODELO'!$B$13,IF(A102&lt;=15,'VARIABLES MODELO'!$B$14,IF(A102&lt;=50,'VARIABLES MODELO'!$B$15,IF(A102&lt;=80,'VARIABLES MODELO'!$B$16,IF(A102&lt;=120,'VARIABLES MODELO'!$B$17,'VARIABLES MODELO'!$B$18)))))</f>
        <v>2.8000000000000001E-2</v>
      </c>
      <c r="G102" s="5">
        <f t="shared" si="16"/>
        <v>2.7187999999999972</v>
      </c>
      <c r="H102" s="78"/>
      <c r="I102" s="5">
        <f t="shared" si="17"/>
        <v>2.7187999999999972</v>
      </c>
      <c r="J102" s="51">
        <f>IF(A102&lt;=15,'VARIABLES MODELO'!$B$8,'VARIABLES MODELO'!$B$10)</f>
        <v>509.36</v>
      </c>
      <c r="K102" s="51">
        <f t="shared" si="18"/>
        <v>1384.8479679999987</v>
      </c>
      <c r="L102" s="51">
        <f>SUM($K$4:K102)</f>
        <v>115162.20062999989</v>
      </c>
      <c r="M102" s="3">
        <f>MROUND(I102*'VARIABLES MODELO'!$B$5,30)</f>
        <v>90</v>
      </c>
      <c r="N102" s="3">
        <f>IF(A102&lt;=15,MROUND(M102/'VARIABLES MODELO'!$B$11,0.5),MROUND(M102/'VARIABLES MODELO'!$B$12,0.5))</f>
        <v>3</v>
      </c>
      <c r="O102" s="3">
        <f>IF(A102&lt;=15,SUM($M$4:M102)/'VARIABLES MODELO'!$B$11,SUM($M$19:M102)/'VARIABLES MODELO'!$B$12)</f>
        <v>203</v>
      </c>
    </row>
    <row r="103" spans="1:15" x14ac:dyDescent="0.45">
      <c r="A103">
        <v>100</v>
      </c>
      <c r="B103" s="50">
        <f>'VARIABLES MODELO'!$B$4+A103-1</f>
        <v>46384</v>
      </c>
      <c r="C103" t="str">
        <f t="shared" si="15"/>
        <v>Precoz 19%</v>
      </c>
      <c r="D103" s="3">
        <f t="shared" si="14"/>
        <v>97.749999999999901</v>
      </c>
      <c r="E103" s="3">
        <f>PRECOZ!C90</f>
        <v>0.65</v>
      </c>
      <c r="F103" s="77">
        <f>IF(A103&lt;=5,'VARIABLES MODELO'!$B$13,IF(A103&lt;=15,'VARIABLES MODELO'!$B$14,IF(A103&lt;=50,'VARIABLES MODELO'!$B$15,IF(A103&lt;=80,'VARIABLES MODELO'!$B$16,IF(A103&lt;=120,'VARIABLES MODELO'!$B$17,'VARIABLES MODELO'!$B$18)))))</f>
        <v>2.8000000000000001E-2</v>
      </c>
      <c r="G103" s="5">
        <f t="shared" si="16"/>
        <v>2.7369999999999974</v>
      </c>
      <c r="H103" s="78"/>
      <c r="I103" s="5">
        <f t="shared" si="17"/>
        <v>2.7369999999999974</v>
      </c>
      <c r="J103" s="51">
        <f>IF(A103&lt;=15,'VARIABLES MODELO'!$B$8,'VARIABLES MODELO'!$B$10)</f>
        <v>509.36</v>
      </c>
      <c r="K103" s="51">
        <f t="shared" si="18"/>
        <v>1394.1183199999987</v>
      </c>
      <c r="L103" s="51">
        <f>SUM($K$4:K103)</f>
        <v>116556.31894999988</v>
      </c>
      <c r="M103" s="3">
        <f>MROUND(I103*'VARIABLES MODELO'!$B$5,30)</f>
        <v>90</v>
      </c>
      <c r="N103" s="3">
        <f>IF(A103&lt;=15,MROUND(M103/'VARIABLES MODELO'!$B$11,0.5),MROUND(M103/'VARIABLES MODELO'!$B$12,0.5))</f>
        <v>3</v>
      </c>
      <c r="O103" s="3">
        <f>IF(A103&lt;=15,SUM($M$4:M103)/'VARIABLES MODELO'!$B$11,SUM($M$19:M103)/'VARIABLES MODELO'!$B$12)</f>
        <v>206</v>
      </c>
    </row>
    <row r="104" spans="1:15" x14ac:dyDescent="0.45">
      <c r="A104">
        <v>101</v>
      </c>
      <c r="B104" s="50">
        <f>'VARIABLES MODELO'!$B$4+A104-1</f>
        <v>46385</v>
      </c>
      <c r="C104" t="str">
        <f t="shared" si="15"/>
        <v>Precoz 19%</v>
      </c>
      <c r="D104" s="3">
        <f t="shared" si="14"/>
        <v>98.399999999999906</v>
      </c>
      <c r="E104" s="3">
        <f>PRECOZ!C91</f>
        <v>0.65</v>
      </c>
      <c r="F104" s="77">
        <f>IF(A104&lt;=5,'VARIABLES MODELO'!$B$13,IF(A104&lt;=15,'VARIABLES MODELO'!$B$14,IF(A104&lt;=50,'VARIABLES MODELO'!$B$15,IF(A104&lt;=80,'VARIABLES MODELO'!$B$16,IF(A104&lt;=120,'VARIABLES MODELO'!$B$17,'VARIABLES MODELO'!$B$18)))))</f>
        <v>2.8000000000000001E-2</v>
      </c>
      <c r="G104" s="5">
        <f t="shared" si="16"/>
        <v>2.7551999999999977</v>
      </c>
      <c r="H104" s="78"/>
      <c r="I104" s="5">
        <f t="shared" si="17"/>
        <v>2.7551999999999977</v>
      </c>
      <c r="J104" s="51">
        <f>IF(A104&lt;=15,'VARIABLES MODELO'!$B$8,'VARIABLES MODELO'!$B$10)</f>
        <v>509.36</v>
      </c>
      <c r="K104" s="51">
        <f t="shared" si="18"/>
        <v>1403.3886719999989</v>
      </c>
      <c r="L104" s="51">
        <f>SUM($K$4:K104)</f>
        <v>117959.70762199989</v>
      </c>
      <c r="M104" s="3">
        <f>MROUND(I104*'VARIABLES MODELO'!$B$5,30)</f>
        <v>90</v>
      </c>
      <c r="N104" s="3">
        <f>IF(A104&lt;=15,MROUND(M104/'VARIABLES MODELO'!$B$11,0.5),MROUND(M104/'VARIABLES MODELO'!$B$12,0.5))</f>
        <v>3</v>
      </c>
      <c r="O104" s="3">
        <f>IF(A104&lt;=15,SUM($M$4:M104)/'VARIABLES MODELO'!$B$11,SUM($M$19:M104)/'VARIABLES MODELO'!$B$12)</f>
        <v>209</v>
      </c>
    </row>
    <row r="105" spans="1:15" x14ac:dyDescent="0.45">
      <c r="A105">
        <v>102</v>
      </c>
      <c r="B105" s="50">
        <f>'VARIABLES MODELO'!$B$4+A105-1</f>
        <v>46386</v>
      </c>
      <c r="C105" t="str">
        <f t="shared" si="15"/>
        <v>Precoz 19%</v>
      </c>
      <c r="D105" s="3">
        <f t="shared" si="14"/>
        <v>99.049999999999912</v>
      </c>
      <c r="E105" s="3">
        <f>PRECOZ!C92</f>
        <v>0.65</v>
      </c>
      <c r="F105" s="77">
        <f>IF(A105&lt;=5,'VARIABLES MODELO'!$B$13,IF(A105&lt;=15,'VARIABLES MODELO'!$B$14,IF(A105&lt;=50,'VARIABLES MODELO'!$B$15,IF(A105&lt;=80,'VARIABLES MODELO'!$B$16,IF(A105&lt;=120,'VARIABLES MODELO'!$B$17,'VARIABLES MODELO'!$B$18)))))</f>
        <v>2.8000000000000001E-2</v>
      </c>
      <c r="G105" s="5">
        <f t="shared" si="16"/>
        <v>2.7733999999999974</v>
      </c>
      <c r="H105" s="78"/>
      <c r="I105" s="5">
        <f t="shared" si="17"/>
        <v>2.7733999999999974</v>
      </c>
      <c r="J105" s="51">
        <f>IF(A105&lt;=15,'VARIABLES MODELO'!$B$8,'VARIABLES MODELO'!$B$10)</f>
        <v>509.36</v>
      </c>
      <c r="K105" s="51">
        <f t="shared" si="18"/>
        <v>1412.6590239999987</v>
      </c>
      <c r="L105" s="51">
        <f>SUM($K$4:K105)</f>
        <v>119372.36664599988</v>
      </c>
      <c r="M105" s="3">
        <f>MROUND(I105*'VARIABLES MODELO'!$B$5,30)</f>
        <v>90</v>
      </c>
      <c r="N105" s="3">
        <f>IF(A105&lt;=15,MROUND(M105/'VARIABLES MODELO'!$B$11,0.5),MROUND(M105/'VARIABLES MODELO'!$B$12,0.5))</f>
        <v>3</v>
      </c>
      <c r="O105" s="3">
        <f>IF(A105&lt;=15,SUM($M$4:M105)/'VARIABLES MODELO'!$B$11,SUM($M$19:M105)/'VARIABLES MODELO'!$B$12)</f>
        <v>212</v>
      </c>
    </row>
    <row r="106" spans="1:15" x14ac:dyDescent="0.45">
      <c r="A106">
        <v>103</v>
      </c>
      <c r="B106" s="50">
        <f>'VARIABLES MODELO'!$B$4+A106-1</f>
        <v>46387</v>
      </c>
      <c r="C106" t="str">
        <f t="shared" si="15"/>
        <v>Precoz 19%</v>
      </c>
      <c r="D106" s="3">
        <f t="shared" si="14"/>
        <v>99.699999999999918</v>
      </c>
      <c r="E106" s="3">
        <f>PRECOZ!C93</f>
        <v>0.65</v>
      </c>
      <c r="F106" s="77">
        <f>IF(A106&lt;=5,'VARIABLES MODELO'!$B$13,IF(A106&lt;=15,'VARIABLES MODELO'!$B$14,IF(A106&lt;=50,'VARIABLES MODELO'!$B$15,IF(A106&lt;=80,'VARIABLES MODELO'!$B$16,IF(A106&lt;=120,'VARIABLES MODELO'!$B$17,'VARIABLES MODELO'!$B$18)))))</f>
        <v>2.8000000000000001E-2</v>
      </c>
      <c r="G106" s="5">
        <f t="shared" si="16"/>
        <v>2.7915999999999976</v>
      </c>
      <c r="H106" s="78"/>
      <c r="I106" s="5">
        <f t="shared" si="17"/>
        <v>2.7915999999999976</v>
      </c>
      <c r="J106" s="51">
        <f>IF(A106&lt;=15,'VARIABLES MODELO'!$B$8,'VARIABLES MODELO'!$B$10)</f>
        <v>509.36</v>
      </c>
      <c r="K106" s="51">
        <f t="shared" si="18"/>
        <v>1421.9293759999989</v>
      </c>
      <c r="L106" s="51">
        <f>SUM($K$4:K106)</f>
        <v>120794.29602199988</v>
      </c>
      <c r="M106" s="3">
        <f>MROUND(I106*'VARIABLES MODELO'!$B$5,30)</f>
        <v>90</v>
      </c>
      <c r="N106" s="3">
        <f>IF(A106&lt;=15,MROUND(M106/'VARIABLES MODELO'!$B$11,0.5),MROUND(M106/'VARIABLES MODELO'!$B$12,0.5))</f>
        <v>3</v>
      </c>
      <c r="O106" s="3">
        <f>IF(A106&lt;=15,SUM($M$4:M106)/'VARIABLES MODELO'!$B$11,SUM($M$19:M106)/'VARIABLES MODELO'!$B$12)</f>
        <v>215</v>
      </c>
    </row>
    <row r="107" spans="1:15" x14ac:dyDescent="0.45">
      <c r="A107">
        <v>104</v>
      </c>
      <c r="B107" s="50">
        <f>'VARIABLES MODELO'!$B$4+A107-1</f>
        <v>46388</v>
      </c>
      <c r="C107" t="str">
        <f t="shared" si="15"/>
        <v>Precoz 19%</v>
      </c>
      <c r="D107" s="3">
        <f t="shared" si="14"/>
        <v>100.34999999999992</v>
      </c>
      <c r="E107" s="3">
        <f>PRECOZ!C94</f>
        <v>0.65</v>
      </c>
      <c r="F107" s="77">
        <f>IF(A107&lt;=5,'VARIABLES MODELO'!$B$13,IF(A107&lt;=15,'VARIABLES MODELO'!$B$14,IF(A107&lt;=50,'VARIABLES MODELO'!$B$15,IF(A107&lt;=80,'VARIABLES MODELO'!$B$16,IF(A107&lt;=120,'VARIABLES MODELO'!$B$17,'VARIABLES MODELO'!$B$18)))))</f>
        <v>2.8000000000000001E-2</v>
      </c>
      <c r="G107" s="5">
        <f t="shared" si="16"/>
        <v>2.8097999999999979</v>
      </c>
      <c r="H107" s="78"/>
      <c r="I107" s="5">
        <f t="shared" si="17"/>
        <v>2.8097999999999979</v>
      </c>
      <c r="J107" s="51">
        <f>IF(A107&lt;=15,'VARIABLES MODELO'!$B$8,'VARIABLES MODELO'!$B$10)</f>
        <v>509.36</v>
      </c>
      <c r="K107" s="51">
        <f t="shared" si="18"/>
        <v>1431.1997279999989</v>
      </c>
      <c r="L107" s="51">
        <f>SUM($K$4:K107)</f>
        <v>122225.49574999987</v>
      </c>
      <c r="M107" s="3">
        <f>MROUND(I107*'VARIABLES MODELO'!$B$5,30)</f>
        <v>90</v>
      </c>
      <c r="N107" s="3">
        <f>IF(A107&lt;=15,MROUND(M107/'VARIABLES MODELO'!$B$11,0.5),MROUND(M107/'VARIABLES MODELO'!$B$12,0.5))</f>
        <v>3</v>
      </c>
      <c r="O107" s="3">
        <f>IF(A107&lt;=15,SUM($M$4:M107)/'VARIABLES MODELO'!$B$11,SUM($M$19:M107)/'VARIABLES MODELO'!$B$12)</f>
        <v>218</v>
      </c>
    </row>
    <row r="108" spans="1:15" x14ac:dyDescent="0.45">
      <c r="A108">
        <v>105</v>
      </c>
      <c r="B108" s="50">
        <f>'VARIABLES MODELO'!$B$4+A108-1</f>
        <v>46389</v>
      </c>
      <c r="C108" t="str">
        <f t="shared" si="15"/>
        <v>Precoz 19%</v>
      </c>
      <c r="D108" s="3">
        <f t="shared" si="14"/>
        <v>100.99999999999993</v>
      </c>
      <c r="E108" s="3">
        <f>PRECOZ!C95</f>
        <v>0.65</v>
      </c>
      <c r="F108" s="77">
        <f>IF(A108&lt;=5,'VARIABLES MODELO'!$B$13,IF(A108&lt;=15,'VARIABLES MODELO'!$B$14,IF(A108&lt;=50,'VARIABLES MODELO'!$B$15,IF(A108&lt;=80,'VARIABLES MODELO'!$B$16,IF(A108&lt;=120,'VARIABLES MODELO'!$B$17,'VARIABLES MODELO'!$B$18)))))</f>
        <v>2.8000000000000001E-2</v>
      </c>
      <c r="G108" s="5">
        <f t="shared" si="16"/>
        <v>2.8279999999999981</v>
      </c>
      <c r="H108" s="78"/>
      <c r="I108" s="5">
        <f t="shared" si="17"/>
        <v>2.8279999999999981</v>
      </c>
      <c r="J108" s="51">
        <f>IF(A108&lt;=15,'VARIABLES MODELO'!$B$8,'VARIABLES MODELO'!$B$10)</f>
        <v>509.36</v>
      </c>
      <c r="K108" s="51">
        <f t="shared" si="18"/>
        <v>1440.4700799999991</v>
      </c>
      <c r="L108" s="51">
        <f>SUM($K$4:K108)</f>
        <v>123665.96582999987</v>
      </c>
      <c r="M108" s="3">
        <f>MROUND(I108*'VARIABLES MODELO'!$B$5,30)</f>
        <v>90</v>
      </c>
      <c r="N108" s="3">
        <f>IF(A108&lt;=15,MROUND(M108/'VARIABLES MODELO'!$B$11,0.5),MROUND(M108/'VARIABLES MODELO'!$B$12,0.5))</f>
        <v>3</v>
      </c>
      <c r="O108" s="3">
        <f>IF(A108&lt;=15,SUM($M$4:M108)/'VARIABLES MODELO'!$B$11,SUM($M$19:M108)/'VARIABLES MODELO'!$B$12)</f>
        <v>221</v>
      </c>
    </row>
    <row r="109" spans="1:15" x14ac:dyDescent="0.45">
      <c r="A109">
        <v>106</v>
      </c>
      <c r="B109" s="50">
        <f>'VARIABLES MODELO'!$B$4+A109-1</f>
        <v>46390</v>
      </c>
      <c r="C109" t="str">
        <f t="shared" si="15"/>
        <v>Precoz 19%</v>
      </c>
      <c r="D109" s="3">
        <f t="shared" si="14"/>
        <v>101.64999999999993</v>
      </c>
      <c r="E109" s="3">
        <f>PRECOZ!C96</f>
        <v>0.65</v>
      </c>
      <c r="F109" s="77">
        <f>IF(A109&lt;=5,'VARIABLES MODELO'!$B$13,IF(A109&lt;=15,'VARIABLES MODELO'!$B$14,IF(A109&lt;=50,'VARIABLES MODELO'!$B$15,IF(A109&lt;=80,'VARIABLES MODELO'!$B$16,IF(A109&lt;=120,'VARIABLES MODELO'!$B$17,'VARIABLES MODELO'!$B$18)))))</f>
        <v>2.8000000000000001E-2</v>
      </c>
      <c r="G109" s="5">
        <f t="shared" si="16"/>
        <v>2.8461999999999983</v>
      </c>
      <c r="H109" s="78"/>
      <c r="I109" s="5">
        <f t="shared" si="17"/>
        <v>2.8461999999999983</v>
      </c>
      <c r="J109" s="51">
        <f>IF(A109&lt;=15,'VARIABLES MODELO'!$B$8,'VARIABLES MODELO'!$B$10)</f>
        <v>509.36</v>
      </c>
      <c r="K109" s="51">
        <f t="shared" si="18"/>
        <v>1449.7404319999991</v>
      </c>
      <c r="L109" s="51">
        <f>SUM($K$4:K109)</f>
        <v>125115.70626199988</v>
      </c>
      <c r="M109" s="3">
        <f>MROUND(I109*'VARIABLES MODELO'!$B$5,30)</f>
        <v>90</v>
      </c>
      <c r="N109" s="3">
        <f>IF(A109&lt;=15,MROUND(M109/'VARIABLES MODELO'!$B$11,0.5),MROUND(M109/'VARIABLES MODELO'!$B$12,0.5))</f>
        <v>3</v>
      </c>
      <c r="O109" s="3">
        <f>IF(A109&lt;=15,SUM($M$4:M109)/'VARIABLES MODELO'!$B$11,SUM($M$19:M109)/'VARIABLES MODELO'!$B$12)</f>
        <v>224</v>
      </c>
    </row>
    <row r="110" spans="1:15" x14ac:dyDescent="0.45">
      <c r="A110">
        <v>107</v>
      </c>
      <c r="B110" s="50">
        <f>'VARIABLES MODELO'!$B$4+A110-1</f>
        <v>46391</v>
      </c>
      <c r="C110" t="str">
        <f t="shared" si="15"/>
        <v>Precoz 19%</v>
      </c>
      <c r="D110" s="3">
        <f t="shared" si="14"/>
        <v>102.29999999999994</v>
      </c>
      <c r="E110" s="3">
        <f>PRECOZ!C97</f>
        <v>0.65</v>
      </c>
      <c r="F110" s="77">
        <f>IF(A110&lt;=5,'VARIABLES MODELO'!$B$13,IF(A110&lt;=15,'VARIABLES MODELO'!$B$14,IF(A110&lt;=50,'VARIABLES MODELO'!$B$15,IF(A110&lt;=80,'VARIABLES MODELO'!$B$16,IF(A110&lt;=120,'VARIABLES MODELO'!$B$17,'VARIABLES MODELO'!$B$18)))))</f>
        <v>2.8000000000000001E-2</v>
      </c>
      <c r="G110" s="5">
        <f t="shared" si="16"/>
        <v>2.8643999999999985</v>
      </c>
      <c r="H110" s="78"/>
      <c r="I110" s="5">
        <f t="shared" si="17"/>
        <v>2.8643999999999985</v>
      </c>
      <c r="J110" s="51">
        <f>IF(A110&lt;=15,'VARIABLES MODELO'!$B$8,'VARIABLES MODELO'!$B$10)</f>
        <v>509.36</v>
      </c>
      <c r="K110" s="51">
        <f t="shared" si="18"/>
        <v>1459.0107839999994</v>
      </c>
      <c r="L110" s="51">
        <f>SUM($K$4:K110)</f>
        <v>126574.71704599987</v>
      </c>
      <c r="M110" s="3">
        <f>MROUND(I110*'VARIABLES MODELO'!$B$5,30)</f>
        <v>90</v>
      </c>
      <c r="N110" s="3">
        <f>IF(A110&lt;=15,MROUND(M110/'VARIABLES MODELO'!$B$11,0.5),MROUND(M110/'VARIABLES MODELO'!$B$12,0.5))</f>
        <v>3</v>
      </c>
      <c r="O110" s="3">
        <f>IF(A110&lt;=15,SUM($M$4:M110)/'VARIABLES MODELO'!$B$11,SUM($M$19:M110)/'VARIABLES MODELO'!$B$12)</f>
        <v>227</v>
      </c>
    </row>
    <row r="111" spans="1:15" x14ac:dyDescent="0.45">
      <c r="A111">
        <v>108</v>
      </c>
      <c r="B111" s="50">
        <f>'VARIABLES MODELO'!$B$4+A111-1</f>
        <v>46392</v>
      </c>
      <c r="C111" t="str">
        <f t="shared" si="15"/>
        <v>Precoz 19%</v>
      </c>
      <c r="D111" s="3">
        <f t="shared" si="14"/>
        <v>102.94999999999995</v>
      </c>
      <c r="E111" s="3">
        <f>PRECOZ!C98</f>
        <v>0.65</v>
      </c>
      <c r="F111" s="77">
        <f>IF(A111&lt;=5,'VARIABLES MODELO'!$B$13,IF(A111&lt;=15,'VARIABLES MODELO'!$B$14,IF(A111&lt;=50,'VARIABLES MODELO'!$B$15,IF(A111&lt;=80,'VARIABLES MODELO'!$B$16,IF(A111&lt;=120,'VARIABLES MODELO'!$B$17,'VARIABLES MODELO'!$B$18)))))</f>
        <v>2.8000000000000001E-2</v>
      </c>
      <c r="G111" s="5">
        <f t="shared" si="16"/>
        <v>2.8825999999999987</v>
      </c>
      <c r="H111" s="78"/>
      <c r="I111" s="5">
        <f t="shared" si="17"/>
        <v>2.8825999999999987</v>
      </c>
      <c r="J111" s="51">
        <f>IF(A111&lt;=15,'VARIABLES MODELO'!$B$8,'VARIABLES MODELO'!$B$10)</f>
        <v>509.36</v>
      </c>
      <c r="K111" s="51">
        <f t="shared" si="18"/>
        <v>1468.2811359999994</v>
      </c>
      <c r="L111" s="51">
        <f>SUM($K$4:K111)</f>
        <v>128042.99818199988</v>
      </c>
      <c r="M111" s="3">
        <f>MROUND(I111*'VARIABLES MODELO'!$B$5,30)</f>
        <v>90</v>
      </c>
      <c r="N111" s="3">
        <f>IF(A111&lt;=15,MROUND(M111/'VARIABLES MODELO'!$B$11,0.5),MROUND(M111/'VARIABLES MODELO'!$B$12,0.5))</f>
        <v>3</v>
      </c>
      <c r="O111" s="3">
        <f>IF(A111&lt;=15,SUM($M$4:M111)/'VARIABLES MODELO'!$B$11,SUM($M$19:M111)/'VARIABLES MODELO'!$B$12)</f>
        <v>230</v>
      </c>
    </row>
    <row r="112" spans="1:15" x14ac:dyDescent="0.45">
      <c r="A112">
        <v>109</v>
      </c>
      <c r="B112" s="50">
        <f>'VARIABLES MODELO'!$B$4+A112-1</f>
        <v>46393</v>
      </c>
      <c r="C112" t="str">
        <f t="shared" si="15"/>
        <v>Precoz 19%</v>
      </c>
      <c r="D112" s="3">
        <f t="shared" si="14"/>
        <v>103.59999999999995</v>
      </c>
      <c r="E112" s="3">
        <f>PRECOZ!C99</f>
        <v>0.65</v>
      </c>
      <c r="F112" s="77">
        <f>IF(A112&lt;=5,'VARIABLES MODELO'!$B$13,IF(A112&lt;=15,'VARIABLES MODELO'!$B$14,IF(A112&lt;=50,'VARIABLES MODELO'!$B$15,IF(A112&lt;=80,'VARIABLES MODELO'!$B$16,IF(A112&lt;=120,'VARIABLES MODELO'!$B$17,'VARIABLES MODELO'!$B$18)))))</f>
        <v>2.8000000000000001E-2</v>
      </c>
      <c r="G112" s="5">
        <f t="shared" si="16"/>
        <v>2.9007999999999985</v>
      </c>
      <c r="H112" s="78"/>
      <c r="I112" s="5">
        <f t="shared" si="17"/>
        <v>2.9007999999999985</v>
      </c>
      <c r="J112" s="51">
        <f>IF(A112&lt;=15,'VARIABLES MODELO'!$B$8,'VARIABLES MODELO'!$B$10)</f>
        <v>509.36</v>
      </c>
      <c r="K112" s="51">
        <f t="shared" si="18"/>
        <v>1477.5514879999994</v>
      </c>
      <c r="L112" s="51">
        <f>SUM($K$4:K112)</f>
        <v>129520.54966999988</v>
      </c>
      <c r="M112" s="3">
        <f>MROUND(I112*'VARIABLES MODELO'!$B$5,30)</f>
        <v>90</v>
      </c>
      <c r="N112" s="3">
        <f>IF(A112&lt;=15,MROUND(M112/'VARIABLES MODELO'!$B$11,0.5),MROUND(M112/'VARIABLES MODELO'!$B$12,0.5))</f>
        <v>3</v>
      </c>
      <c r="O112" s="3">
        <f>IF(A112&lt;=15,SUM($M$4:M112)/'VARIABLES MODELO'!$B$11,SUM($M$19:M112)/'VARIABLES MODELO'!$B$12)</f>
        <v>233</v>
      </c>
    </row>
    <row r="113" spans="1:15" x14ac:dyDescent="0.45">
      <c r="A113">
        <v>110</v>
      </c>
      <c r="B113" s="50">
        <f>'VARIABLES MODELO'!$B$4+A113-1</f>
        <v>46394</v>
      </c>
      <c r="C113" t="str">
        <f t="shared" si="15"/>
        <v>Precoz 19%</v>
      </c>
      <c r="D113" s="3">
        <f t="shared" si="14"/>
        <v>104.24999999999996</v>
      </c>
      <c r="E113" s="3">
        <f>PRECOZ!C100</f>
        <v>0.65</v>
      </c>
      <c r="F113" s="77">
        <f>IF(A113&lt;=5,'VARIABLES MODELO'!$B$13,IF(A113&lt;=15,'VARIABLES MODELO'!$B$14,IF(A113&lt;=50,'VARIABLES MODELO'!$B$15,IF(A113&lt;=80,'VARIABLES MODELO'!$B$16,IF(A113&lt;=120,'VARIABLES MODELO'!$B$17,'VARIABLES MODELO'!$B$18)))))</f>
        <v>2.8000000000000001E-2</v>
      </c>
      <c r="G113" s="5">
        <f t="shared" si="16"/>
        <v>2.9189999999999987</v>
      </c>
      <c r="H113" s="78"/>
      <c r="I113" s="5">
        <f t="shared" si="17"/>
        <v>2.9189999999999987</v>
      </c>
      <c r="J113" s="51">
        <f>IF(A113&lt;=15,'VARIABLES MODELO'!$B$8,'VARIABLES MODELO'!$B$10)</f>
        <v>509.36</v>
      </c>
      <c r="K113" s="51">
        <f t="shared" si="18"/>
        <v>1486.8218399999994</v>
      </c>
      <c r="L113" s="51">
        <f>SUM($K$4:K113)</f>
        <v>131007.37150999988</v>
      </c>
      <c r="M113" s="3">
        <f>MROUND(I113*'VARIABLES MODELO'!$B$5,30)</f>
        <v>90</v>
      </c>
      <c r="N113" s="3">
        <f>IF(A113&lt;=15,MROUND(M113/'VARIABLES MODELO'!$B$11,0.5),MROUND(M113/'VARIABLES MODELO'!$B$12,0.5))</f>
        <v>3</v>
      </c>
      <c r="O113" s="3">
        <f>IF(A113&lt;=15,SUM($M$4:M113)/'VARIABLES MODELO'!$B$11,SUM($M$19:M113)/'VARIABLES MODELO'!$B$12)</f>
        <v>236</v>
      </c>
    </row>
    <row r="114" spans="1:15" x14ac:dyDescent="0.45">
      <c r="A114">
        <v>111</v>
      </c>
      <c r="B114" s="50">
        <f>'VARIABLES MODELO'!$B$4+A114-1</f>
        <v>46395</v>
      </c>
      <c r="C114" t="str">
        <f t="shared" si="15"/>
        <v>Precoz 19%</v>
      </c>
      <c r="D114" s="3">
        <f t="shared" si="14"/>
        <v>104.89999999999996</v>
      </c>
      <c r="E114" s="3">
        <f>PRECOZ!C101</f>
        <v>0.65</v>
      </c>
      <c r="F114" s="77">
        <f>IF(A114&lt;=5,'VARIABLES MODELO'!$B$13,IF(A114&lt;=15,'VARIABLES MODELO'!$B$14,IF(A114&lt;=50,'VARIABLES MODELO'!$B$15,IF(A114&lt;=80,'VARIABLES MODELO'!$B$16,IF(A114&lt;=120,'VARIABLES MODELO'!$B$17,'VARIABLES MODELO'!$B$18)))))</f>
        <v>2.8000000000000001E-2</v>
      </c>
      <c r="G114" s="5">
        <f t="shared" si="16"/>
        <v>2.9371999999999989</v>
      </c>
      <c r="H114" s="78"/>
      <c r="I114" s="5">
        <f t="shared" si="17"/>
        <v>2.9371999999999989</v>
      </c>
      <c r="J114" s="51">
        <f>IF(A114&lt;=15,'VARIABLES MODELO'!$B$8,'VARIABLES MODELO'!$B$10)</f>
        <v>509.36</v>
      </c>
      <c r="K114" s="51">
        <f t="shared" si="18"/>
        <v>1496.0921919999994</v>
      </c>
      <c r="L114" s="51">
        <f>SUM($K$4:K114)</f>
        <v>132503.46370199989</v>
      </c>
      <c r="M114" s="3">
        <f>MROUND(I114*'VARIABLES MODELO'!$B$5,30)</f>
        <v>90</v>
      </c>
      <c r="N114" s="3">
        <f>IF(A114&lt;=15,MROUND(M114/'VARIABLES MODELO'!$B$11,0.5),MROUND(M114/'VARIABLES MODELO'!$B$12,0.5))</f>
        <v>3</v>
      </c>
      <c r="O114" s="3">
        <f>IF(A114&lt;=15,SUM($M$4:M114)/'VARIABLES MODELO'!$B$11,SUM($M$19:M114)/'VARIABLES MODELO'!$B$12)</f>
        <v>239</v>
      </c>
    </row>
    <row r="115" spans="1:15" x14ac:dyDescent="0.45">
      <c r="A115">
        <v>112</v>
      </c>
      <c r="B115" s="50">
        <f>'VARIABLES MODELO'!$B$4+A115-1</f>
        <v>46396</v>
      </c>
      <c r="C115" t="str">
        <f t="shared" si="15"/>
        <v>Precoz 19%</v>
      </c>
      <c r="D115" s="3">
        <f t="shared" si="14"/>
        <v>105.54999999999997</v>
      </c>
      <c r="E115" s="3">
        <f>PRECOZ!C102</f>
        <v>0.7</v>
      </c>
      <c r="F115" s="77">
        <f>IF(A115&lt;=5,'VARIABLES MODELO'!$B$13,IF(A115&lt;=15,'VARIABLES MODELO'!$B$14,IF(A115&lt;=50,'VARIABLES MODELO'!$B$15,IF(A115&lt;=80,'VARIABLES MODELO'!$B$16,IF(A115&lt;=120,'VARIABLES MODELO'!$B$17,'VARIABLES MODELO'!$B$18)))))</f>
        <v>2.8000000000000001E-2</v>
      </c>
      <c r="G115" s="5">
        <f t="shared" si="16"/>
        <v>2.9553999999999991</v>
      </c>
      <c r="H115" s="78"/>
      <c r="I115" s="5">
        <f t="shared" si="17"/>
        <v>2.9553999999999991</v>
      </c>
      <c r="J115" s="51">
        <f>IF(A115&lt;=15,'VARIABLES MODELO'!$B$8,'VARIABLES MODELO'!$B$10)</f>
        <v>509.36</v>
      </c>
      <c r="K115" s="51">
        <f t="shared" si="18"/>
        <v>1505.3625439999996</v>
      </c>
      <c r="L115" s="51">
        <f>SUM($K$4:K115)</f>
        <v>134008.8262459999</v>
      </c>
      <c r="M115" s="3">
        <f>MROUND(I115*'VARIABLES MODELO'!$B$5,30)</f>
        <v>90</v>
      </c>
      <c r="N115" s="3">
        <f>IF(A115&lt;=15,MROUND(M115/'VARIABLES MODELO'!$B$11,0.5),MROUND(M115/'VARIABLES MODELO'!$B$12,0.5))</f>
        <v>3</v>
      </c>
      <c r="O115" s="3">
        <f>IF(A115&lt;=15,SUM($M$4:M115)/'VARIABLES MODELO'!$B$11,SUM($M$19:M115)/'VARIABLES MODELO'!$B$12)</f>
        <v>242</v>
      </c>
    </row>
    <row r="116" spans="1:15" x14ac:dyDescent="0.45">
      <c r="A116">
        <v>113</v>
      </c>
      <c r="B116" s="50">
        <f>'VARIABLES MODELO'!$B$4+A116-1</f>
        <v>46397</v>
      </c>
      <c r="C116" t="str">
        <f t="shared" si="15"/>
        <v>Precoz 19%</v>
      </c>
      <c r="D116" s="3">
        <f t="shared" si="14"/>
        <v>106.24999999999997</v>
      </c>
      <c r="E116" s="3">
        <f>PRECOZ!C103</f>
        <v>0.7</v>
      </c>
      <c r="F116" s="77">
        <f>IF(A116&lt;=5,'VARIABLES MODELO'!$B$13,IF(A116&lt;=15,'VARIABLES MODELO'!$B$14,IF(A116&lt;=50,'VARIABLES MODELO'!$B$15,IF(A116&lt;=80,'VARIABLES MODELO'!$B$16,IF(A116&lt;=120,'VARIABLES MODELO'!$B$17,'VARIABLES MODELO'!$B$18)))))</f>
        <v>2.8000000000000001E-2</v>
      </c>
      <c r="G116" s="5">
        <f t="shared" si="16"/>
        <v>2.9749999999999992</v>
      </c>
      <c r="H116" s="78"/>
      <c r="I116" s="5">
        <f t="shared" si="17"/>
        <v>2.9749999999999992</v>
      </c>
      <c r="J116" s="51">
        <f>IF(A116&lt;=15,'VARIABLES MODELO'!$B$8,'VARIABLES MODELO'!$B$10)</f>
        <v>509.36</v>
      </c>
      <c r="K116" s="51">
        <f t="shared" si="18"/>
        <v>1515.3459999999995</v>
      </c>
      <c r="L116" s="51">
        <f>SUM($K$4:K116)</f>
        <v>135524.17224599989</v>
      </c>
      <c r="M116" s="3">
        <f>MROUND(I116*'VARIABLES MODELO'!$B$5,30)</f>
        <v>90</v>
      </c>
      <c r="N116" s="3">
        <f>IF(A116&lt;=15,MROUND(M116/'VARIABLES MODELO'!$B$11,0.5),MROUND(M116/'VARIABLES MODELO'!$B$12,0.5))</f>
        <v>3</v>
      </c>
      <c r="O116" s="3">
        <f>IF(A116&lt;=15,SUM($M$4:M116)/'VARIABLES MODELO'!$B$11,SUM($M$19:M116)/'VARIABLES MODELO'!$B$12)</f>
        <v>245</v>
      </c>
    </row>
    <row r="117" spans="1:15" x14ac:dyDescent="0.45">
      <c r="A117">
        <v>114</v>
      </c>
      <c r="B117" s="50">
        <f>'VARIABLES MODELO'!$B$4+A117-1</f>
        <v>46398</v>
      </c>
      <c r="C117" t="str">
        <f t="shared" si="15"/>
        <v>Precoz 19%</v>
      </c>
      <c r="D117" s="3">
        <f t="shared" si="14"/>
        <v>106.94999999999997</v>
      </c>
      <c r="E117" s="3">
        <f>PRECOZ!C104</f>
        <v>0.7</v>
      </c>
      <c r="F117" s="77">
        <f>IF(A117&lt;=5,'VARIABLES MODELO'!$B$13,IF(A117&lt;=15,'VARIABLES MODELO'!$B$14,IF(A117&lt;=50,'VARIABLES MODELO'!$B$15,IF(A117&lt;=80,'VARIABLES MODELO'!$B$16,IF(A117&lt;=120,'VARIABLES MODELO'!$B$17,'VARIABLES MODELO'!$B$18)))))</f>
        <v>2.8000000000000001E-2</v>
      </c>
      <c r="G117" s="5">
        <f t="shared" si="16"/>
        <v>2.9945999999999993</v>
      </c>
      <c r="H117" s="78"/>
      <c r="I117" s="5">
        <f t="shared" si="17"/>
        <v>2.9945999999999993</v>
      </c>
      <c r="J117" s="51">
        <f>IF(A117&lt;=15,'VARIABLES MODELO'!$B$8,'VARIABLES MODELO'!$B$10)</f>
        <v>509.36</v>
      </c>
      <c r="K117" s="51">
        <f t="shared" si="18"/>
        <v>1525.3294559999997</v>
      </c>
      <c r="L117" s="51">
        <f>SUM($K$4:K117)</f>
        <v>137049.50170199989</v>
      </c>
      <c r="M117" s="3">
        <f>MROUND(I117*'VARIABLES MODELO'!$B$5,30)</f>
        <v>90</v>
      </c>
      <c r="N117" s="3">
        <f>IF(A117&lt;=15,MROUND(M117/'VARIABLES MODELO'!$B$11,0.5),MROUND(M117/'VARIABLES MODELO'!$B$12,0.5))</f>
        <v>3</v>
      </c>
      <c r="O117" s="3">
        <f>IF(A117&lt;=15,SUM($M$4:M117)/'VARIABLES MODELO'!$B$11,SUM($M$19:M117)/'VARIABLES MODELO'!$B$12)</f>
        <v>248</v>
      </c>
    </row>
    <row r="118" spans="1:15" x14ac:dyDescent="0.45">
      <c r="A118">
        <v>115</v>
      </c>
      <c r="B118" s="50">
        <f>'VARIABLES MODELO'!$B$4+A118-1</f>
        <v>46399</v>
      </c>
      <c r="C118" t="str">
        <f t="shared" si="15"/>
        <v>Precoz 19%</v>
      </c>
      <c r="D118" s="3">
        <f t="shared" si="14"/>
        <v>107.64999999999998</v>
      </c>
      <c r="E118" s="3">
        <f>PRECOZ!C105</f>
        <v>0.7</v>
      </c>
      <c r="F118" s="77">
        <f>IF(A118&lt;=5,'VARIABLES MODELO'!$B$13,IF(A118&lt;=15,'VARIABLES MODELO'!$B$14,IF(A118&lt;=50,'VARIABLES MODELO'!$B$15,IF(A118&lt;=80,'VARIABLES MODELO'!$B$16,IF(A118&lt;=120,'VARIABLES MODELO'!$B$17,'VARIABLES MODELO'!$B$18)))))</f>
        <v>2.8000000000000001E-2</v>
      </c>
      <c r="G118" s="5">
        <f t="shared" si="16"/>
        <v>3.0141999999999993</v>
      </c>
      <c r="H118" s="78"/>
      <c r="I118" s="5">
        <f t="shared" si="17"/>
        <v>3.0141999999999993</v>
      </c>
      <c r="J118" s="51">
        <f>IF(A118&lt;=15,'VARIABLES MODELO'!$B$8,'VARIABLES MODELO'!$B$10)</f>
        <v>509.36</v>
      </c>
      <c r="K118" s="51">
        <f t="shared" si="18"/>
        <v>1535.3129119999996</v>
      </c>
      <c r="L118" s="51">
        <f>SUM($K$4:K118)</f>
        <v>138584.81461399989</v>
      </c>
      <c r="M118" s="3">
        <f>MROUND(I118*'VARIABLES MODELO'!$B$5,30)</f>
        <v>90</v>
      </c>
      <c r="N118" s="3">
        <f>IF(A118&lt;=15,MROUND(M118/'VARIABLES MODELO'!$B$11,0.5),MROUND(M118/'VARIABLES MODELO'!$B$12,0.5))</f>
        <v>3</v>
      </c>
      <c r="O118" s="3">
        <f>IF(A118&lt;=15,SUM($M$4:M118)/'VARIABLES MODELO'!$B$11,SUM($M$19:M118)/'VARIABLES MODELO'!$B$12)</f>
        <v>251</v>
      </c>
    </row>
    <row r="119" spans="1:15" x14ac:dyDescent="0.45">
      <c r="A119">
        <v>116</v>
      </c>
      <c r="B119" s="50">
        <f>'VARIABLES MODELO'!$B$4+A119-1</f>
        <v>46400</v>
      </c>
      <c r="C119" t="str">
        <f t="shared" si="15"/>
        <v>Precoz 19%</v>
      </c>
      <c r="D119" s="3">
        <f t="shared" si="14"/>
        <v>108.34999999999998</v>
      </c>
      <c r="E119" s="3">
        <f>PRECOZ!C106</f>
        <v>0.7</v>
      </c>
      <c r="F119" s="77">
        <f>IF(A119&lt;=5,'VARIABLES MODELO'!$B$13,IF(A119&lt;=15,'VARIABLES MODELO'!$B$14,IF(A119&lt;=50,'VARIABLES MODELO'!$B$15,IF(A119&lt;=80,'VARIABLES MODELO'!$B$16,IF(A119&lt;=120,'VARIABLES MODELO'!$B$17,'VARIABLES MODELO'!$B$18)))))</f>
        <v>2.8000000000000001E-2</v>
      </c>
      <c r="G119" s="5">
        <f t="shared" si="16"/>
        <v>3.0337999999999994</v>
      </c>
      <c r="H119" s="78"/>
      <c r="I119" s="5">
        <f t="shared" si="17"/>
        <v>3.0337999999999994</v>
      </c>
      <c r="J119" s="51">
        <f>IF(A119&lt;=15,'VARIABLES MODELO'!$B$8,'VARIABLES MODELO'!$B$10)</f>
        <v>509.36</v>
      </c>
      <c r="K119" s="51">
        <f t="shared" si="18"/>
        <v>1545.2963679999998</v>
      </c>
      <c r="L119" s="51">
        <f>SUM($K$4:K119)</f>
        <v>140130.1109819999</v>
      </c>
      <c r="M119" s="3">
        <f>MROUND(I119*'VARIABLES MODELO'!$B$5,30)</f>
        <v>90</v>
      </c>
      <c r="N119" s="3">
        <f>IF(A119&lt;=15,MROUND(M119/'VARIABLES MODELO'!$B$11,0.5),MROUND(M119/'VARIABLES MODELO'!$B$12,0.5))</f>
        <v>3</v>
      </c>
      <c r="O119" s="3">
        <f>IF(A119&lt;=15,SUM($M$4:M119)/'VARIABLES MODELO'!$B$11,SUM($M$19:M119)/'VARIABLES MODELO'!$B$12)</f>
        <v>254</v>
      </c>
    </row>
    <row r="120" spans="1:15" x14ac:dyDescent="0.45">
      <c r="A120">
        <v>117</v>
      </c>
      <c r="B120" s="50">
        <f>'VARIABLES MODELO'!$B$4+A120-1</f>
        <v>46401</v>
      </c>
      <c r="C120" t="str">
        <f t="shared" si="15"/>
        <v>Precoz 19%</v>
      </c>
      <c r="D120" s="3">
        <f t="shared" si="14"/>
        <v>109.04999999999998</v>
      </c>
      <c r="E120" s="3">
        <f>PRECOZ!C107</f>
        <v>0.7</v>
      </c>
      <c r="F120" s="77">
        <f>IF(A120&lt;=5,'VARIABLES MODELO'!$B$13,IF(A120&lt;=15,'VARIABLES MODELO'!$B$14,IF(A120&lt;=50,'VARIABLES MODELO'!$B$15,IF(A120&lt;=80,'VARIABLES MODELO'!$B$16,IF(A120&lt;=120,'VARIABLES MODELO'!$B$17,'VARIABLES MODELO'!$B$18)))))</f>
        <v>2.8000000000000001E-2</v>
      </c>
      <c r="G120" s="5">
        <f t="shared" si="16"/>
        <v>3.0533999999999994</v>
      </c>
      <c r="H120" s="78"/>
      <c r="I120" s="5">
        <f t="shared" si="17"/>
        <v>3.0533999999999994</v>
      </c>
      <c r="J120" s="51">
        <f>IF(A120&lt;=15,'VARIABLES MODELO'!$B$8,'VARIABLES MODELO'!$B$10)</f>
        <v>509.36</v>
      </c>
      <c r="K120" s="51">
        <f t="shared" si="18"/>
        <v>1555.2798239999997</v>
      </c>
      <c r="L120" s="51">
        <f>SUM($K$4:K120)</f>
        <v>141685.39080599989</v>
      </c>
      <c r="M120" s="3">
        <f>MROUND(I120*'VARIABLES MODELO'!$B$5,30)</f>
        <v>90</v>
      </c>
      <c r="N120" s="3">
        <f>IF(A120&lt;=15,MROUND(M120/'VARIABLES MODELO'!$B$11,0.5),MROUND(M120/'VARIABLES MODELO'!$B$12,0.5))</f>
        <v>3</v>
      </c>
      <c r="O120" s="3">
        <f>IF(A120&lt;=15,SUM($M$4:M120)/'VARIABLES MODELO'!$B$11,SUM($M$19:M120)/'VARIABLES MODELO'!$B$12)</f>
        <v>257</v>
      </c>
    </row>
    <row r="121" spans="1:15" x14ac:dyDescent="0.45">
      <c r="A121">
        <v>118</v>
      </c>
      <c r="B121" s="50">
        <f>'VARIABLES MODELO'!$B$4+A121-1</f>
        <v>46402</v>
      </c>
      <c r="C121" t="str">
        <f t="shared" si="15"/>
        <v>Precoz 19%</v>
      </c>
      <c r="D121" s="3">
        <f t="shared" si="14"/>
        <v>109.74999999999999</v>
      </c>
      <c r="E121" s="3">
        <f>PRECOZ!C108</f>
        <v>0.7</v>
      </c>
      <c r="F121" s="77">
        <f>IF(A121&lt;=5,'VARIABLES MODELO'!$B$13,IF(A121&lt;=15,'VARIABLES MODELO'!$B$14,IF(A121&lt;=50,'VARIABLES MODELO'!$B$15,IF(A121&lt;=80,'VARIABLES MODELO'!$B$16,IF(A121&lt;=120,'VARIABLES MODELO'!$B$17,'VARIABLES MODELO'!$B$18)))))</f>
        <v>2.8000000000000001E-2</v>
      </c>
      <c r="G121" s="5">
        <f t="shared" si="16"/>
        <v>3.0729999999999995</v>
      </c>
      <c r="H121" s="78"/>
      <c r="I121" s="5">
        <f t="shared" si="17"/>
        <v>3.0729999999999995</v>
      </c>
      <c r="J121" s="51">
        <f>IF(A121&lt;=15,'VARIABLES MODELO'!$B$8,'VARIABLES MODELO'!$B$10)</f>
        <v>509.36</v>
      </c>
      <c r="K121" s="51">
        <f t="shared" si="18"/>
        <v>1565.2632799999999</v>
      </c>
      <c r="L121" s="51">
        <f>SUM($K$4:K121)</f>
        <v>143250.65408599991</v>
      </c>
      <c r="M121" s="3">
        <f>MROUND(I121*'VARIABLES MODELO'!$B$5,30)</f>
        <v>90</v>
      </c>
      <c r="N121" s="3">
        <f>IF(A121&lt;=15,MROUND(M121/'VARIABLES MODELO'!$B$11,0.5),MROUND(M121/'VARIABLES MODELO'!$B$12,0.5))</f>
        <v>3</v>
      </c>
      <c r="O121" s="3">
        <f>IF(A121&lt;=15,SUM($M$4:M121)/'VARIABLES MODELO'!$B$11,SUM($M$19:M121)/'VARIABLES MODELO'!$B$12)</f>
        <v>260</v>
      </c>
    </row>
    <row r="122" spans="1:15" x14ac:dyDescent="0.45">
      <c r="A122">
        <v>119</v>
      </c>
      <c r="B122" s="50">
        <f>'VARIABLES MODELO'!$B$4+A122-1</f>
        <v>46403</v>
      </c>
      <c r="C122" t="str">
        <f t="shared" si="15"/>
        <v>Precoz 19%</v>
      </c>
      <c r="D122" s="3">
        <f t="shared" si="14"/>
        <v>110.44999999999999</v>
      </c>
      <c r="E122" s="3">
        <f>PRECOZ!C109</f>
        <v>0.7</v>
      </c>
      <c r="F122" s="77">
        <f>IF(A122&lt;=5,'VARIABLES MODELO'!$B$13,IF(A122&lt;=15,'VARIABLES MODELO'!$B$14,IF(A122&lt;=50,'VARIABLES MODELO'!$B$15,IF(A122&lt;=80,'VARIABLES MODELO'!$B$16,IF(A122&lt;=120,'VARIABLES MODELO'!$B$17,'VARIABLES MODELO'!$B$18)))))</f>
        <v>2.8000000000000001E-2</v>
      </c>
      <c r="G122" s="5">
        <f t="shared" si="16"/>
        <v>3.0925999999999996</v>
      </c>
      <c r="H122" s="78"/>
      <c r="I122" s="5">
        <f t="shared" si="17"/>
        <v>3.0925999999999996</v>
      </c>
      <c r="J122" s="51">
        <f>IF(A122&lt;=15,'VARIABLES MODELO'!$B$8,'VARIABLES MODELO'!$B$10)</f>
        <v>509.36</v>
      </c>
      <c r="K122" s="51">
        <f t="shared" si="18"/>
        <v>1575.2467359999998</v>
      </c>
      <c r="L122" s="51">
        <f>SUM($K$4:K122)</f>
        <v>144825.90082199991</v>
      </c>
      <c r="M122" s="3">
        <f>MROUND(I122*'VARIABLES MODELO'!$B$5,30)</f>
        <v>90</v>
      </c>
      <c r="N122" s="3">
        <f>IF(A122&lt;=15,MROUND(M122/'VARIABLES MODELO'!$B$11,0.5),MROUND(M122/'VARIABLES MODELO'!$B$12,0.5))</f>
        <v>3</v>
      </c>
      <c r="O122" s="3">
        <f>IF(A122&lt;=15,SUM($M$4:M122)/'VARIABLES MODELO'!$B$11,SUM($M$19:M122)/'VARIABLES MODELO'!$B$12)</f>
        <v>263</v>
      </c>
    </row>
    <row r="123" spans="1:15" x14ac:dyDescent="0.45">
      <c r="A123">
        <v>120</v>
      </c>
      <c r="B123" s="50">
        <f>'VARIABLES MODELO'!$B$4+A123-1</f>
        <v>46404</v>
      </c>
      <c r="C123" t="str">
        <f t="shared" si="15"/>
        <v>Precoz 19%</v>
      </c>
      <c r="D123" s="3">
        <f t="shared" si="14"/>
        <v>111.14999999999999</v>
      </c>
      <c r="E123" s="3">
        <f>PRECOZ!C110</f>
        <v>0.7</v>
      </c>
      <c r="F123" s="77">
        <f>IF(A123&lt;=5,'VARIABLES MODELO'!$B$13,IF(A123&lt;=15,'VARIABLES MODELO'!$B$14,IF(A123&lt;=50,'VARIABLES MODELO'!$B$15,IF(A123&lt;=80,'VARIABLES MODELO'!$B$16,IF(A123&lt;=120,'VARIABLES MODELO'!$B$17,'VARIABLES MODELO'!$B$18)))))</f>
        <v>2.8000000000000001E-2</v>
      </c>
      <c r="G123" s="5">
        <f t="shared" si="16"/>
        <v>3.1121999999999996</v>
      </c>
      <c r="H123" s="78"/>
      <c r="I123" s="5">
        <f t="shared" si="17"/>
        <v>3.1121999999999996</v>
      </c>
      <c r="J123" s="51">
        <f>IF(A123&lt;=15,'VARIABLES MODELO'!$B$8,'VARIABLES MODELO'!$B$10)</f>
        <v>509.36</v>
      </c>
      <c r="K123" s="51">
        <f t="shared" si="18"/>
        <v>1585.2301919999998</v>
      </c>
      <c r="L123" s="51">
        <f>SUM($K$4:K123)</f>
        <v>146411.1310139999</v>
      </c>
      <c r="M123" s="3">
        <f>MROUND(I123*'VARIABLES MODELO'!$B$5,30)</f>
        <v>90</v>
      </c>
      <c r="N123" s="3">
        <f>IF(A123&lt;=15,MROUND(M123/'VARIABLES MODELO'!$B$11,0.5),MROUND(M123/'VARIABLES MODELO'!$B$12,0.5))</f>
        <v>3</v>
      </c>
      <c r="O123" s="3">
        <f>IF(A123&lt;=15,SUM($M$4:M123)/'VARIABLES MODELO'!$B$11,SUM($M$19:M123)/'VARIABLES MODELO'!$B$12)</f>
        <v>266</v>
      </c>
    </row>
    <row r="124" spans="1:15" x14ac:dyDescent="0.45">
      <c r="A124">
        <v>121</v>
      </c>
      <c r="B124" s="50">
        <f>'VARIABLES MODELO'!$B$4+A124-1</f>
        <v>46405</v>
      </c>
      <c r="C124" t="str">
        <f t="shared" si="15"/>
        <v>Precoz 19%</v>
      </c>
      <c r="D124" s="3">
        <f t="shared" si="14"/>
        <v>111.85</v>
      </c>
      <c r="E124" s="3">
        <f>PRECOZ!C111</f>
        <v>0.7</v>
      </c>
      <c r="F124" s="77">
        <f>IF(A124&lt;=5,'VARIABLES MODELO'!$B$13,IF(A124&lt;=15,'VARIABLES MODELO'!$B$14,IF(A124&lt;=50,'VARIABLES MODELO'!$B$15,IF(A124&lt;=80,'VARIABLES MODELO'!$B$16,IF(A124&lt;=120,'VARIABLES MODELO'!$B$17,'VARIABLES MODELO'!$B$18)))))</f>
        <v>2.5000000000000001E-2</v>
      </c>
      <c r="G124" s="5">
        <f t="shared" si="16"/>
        <v>2.7962500000000001</v>
      </c>
      <c r="H124" s="78"/>
      <c r="I124" s="5">
        <f t="shared" si="17"/>
        <v>2.7962500000000001</v>
      </c>
      <c r="J124" s="51">
        <f>IF(A124&lt;=15,'VARIABLES MODELO'!$B$8,'VARIABLES MODELO'!$B$10)</f>
        <v>509.36</v>
      </c>
      <c r="K124" s="51">
        <f t="shared" si="18"/>
        <v>1424.2979</v>
      </c>
      <c r="L124" s="51">
        <f>SUM($K$4:K124)</f>
        <v>147835.4289139999</v>
      </c>
      <c r="M124" s="3">
        <f>MROUND(I124*'VARIABLES MODELO'!$B$5,30)</f>
        <v>90</v>
      </c>
      <c r="N124" s="3">
        <f>IF(A124&lt;=15,MROUND(M124/'VARIABLES MODELO'!$B$11,0.5),MROUND(M124/'VARIABLES MODELO'!$B$12,0.5))</f>
        <v>3</v>
      </c>
      <c r="O124" s="3">
        <f>IF(A124&lt;=15,SUM($M$4:M124)/'VARIABLES MODELO'!$B$11,SUM($M$19:M124)/'VARIABLES MODELO'!$B$12)</f>
        <v>269</v>
      </c>
    </row>
    <row r="125" spans="1:15" x14ac:dyDescent="0.45">
      <c r="A125">
        <v>122</v>
      </c>
      <c r="B125" s="50">
        <f>'VARIABLES MODELO'!$B$4+A125-1</f>
        <v>46406</v>
      </c>
      <c r="C125" t="str">
        <f t="shared" si="15"/>
        <v>Precoz 19%</v>
      </c>
      <c r="D125" s="3">
        <f t="shared" si="14"/>
        <v>112.55</v>
      </c>
      <c r="E125" s="3">
        <f>PRECOZ!C112</f>
        <v>0.7</v>
      </c>
      <c r="F125" s="77">
        <f>IF(A125&lt;=5,'VARIABLES MODELO'!$B$13,IF(A125&lt;=15,'VARIABLES MODELO'!$B$14,IF(A125&lt;=50,'VARIABLES MODELO'!$B$15,IF(A125&lt;=80,'VARIABLES MODELO'!$B$16,IF(A125&lt;=120,'VARIABLES MODELO'!$B$17,'VARIABLES MODELO'!$B$18)))))</f>
        <v>2.5000000000000001E-2</v>
      </c>
      <c r="G125" s="5">
        <f t="shared" si="16"/>
        <v>2.8137500000000002</v>
      </c>
      <c r="H125" s="78"/>
      <c r="I125" s="5">
        <f t="shared" si="17"/>
        <v>2.8137500000000002</v>
      </c>
      <c r="J125" s="51">
        <f>IF(A125&lt;=15,'VARIABLES MODELO'!$B$8,'VARIABLES MODELO'!$B$10)</f>
        <v>509.36</v>
      </c>
      <c r="K125" s="51">
        <f t="shared" si="18"/>
        <v>1433.2117000000001</v>
      </c>
      <c r="L125" s="51">
        <f>SUM($K$4:K125)</f>
        <v>149268.64061399992</v>
      </c>
      <c r="M125" s="3">
        <f>MROUND(I125*'VARIABLES MODELO'!$B$5,30)</f>
        <v>90</v>
      </c>
      <c r="N125" s="3">
        <f>IF(A125&lt;=15,MROUND(M125/'VARIABLES MODELO'!$B$11,0.5),MROUND(M125/'VARIABLES MODELO'!$B$12,0.5))</f>
        <v>3</v>
      </c>
      <c r="O125" s="3">
        <f>IF(A125&lt;=15,SUM($M$4:M125)/'VARIABLES MODELO'!$B$11,SUM($M$19:M125)/'VARIABLES MODELO'!$B$12)</f>
        <v>272</v>
      </c>
    </row>
    <row r="126" spans="1:15" x14ac:dyDescent="0.45">
      <c r="A126">
        <v>123</v>
      </c>
      <c r="B126" s="50">
        <f>'VARIABLES MODELO'!$B$4+A126-1</f>
        <v>46407</v>
      </c>
      <c r="C126" t="str">
        <f t="shared" si="15"/>
        <v>Precoz 19%</v>
      </c>
      <c r="D126" s="3">
        <f t="shared" si="14"/>
        <v>113.25</v>
      </c>
      <c r="E126" s="3">
        <f>PRECOZ!C113</f>
        <v>0.7</v>
      </c>
      <c r="F126" s="77">
        <f>IF(A126&lt;=5,'VARIABLES MODELO'!$B$13,IF(A126&lt;=15,'VARIABLES MODELO'!$B$14,IF(A126&lt;=50,'VARIABLES MODELO'!$B$15,IF(A126&lt;=80,'VARIABLES MODELO'!$B$16,IF(A126&lt;=120,'VARIABLES MODELO'!$B$17,'VARIABLES MODELO'!$B$18)))))</f>
        <v>2.5000000000000001E-2</v>
      </c>
      <c r="G126" s="5">
        <f t="shared" si="16"/>
        <v>2.8312500000000003</v>
      </c>
      <c r="H126" s="78"/>
      <c r="I126" s="5">
        <f t="shared" si="17"/>
        <v>2.8312500000000003</v>
      </c>
      <c r="J126" s="51">
        <f>IF(A126&lt;=15,'VARIABLES MODELO'!$B$8,'VARIABLES MODELO'!$B$10)</f>
        <v>509.36</v>
      </c>
      <c r="K126" s="51">
        <f t="shared" si="18"/>
        <v>1442.1255000000001</v>
      </c>
      <c r="L126" s="51">
        <f>SUM($K$4:K126)</f>
        <v>150710.76611399991</v>
      </c>
      <c r="M126" s="3">
        <f>MROUND(I126*'VARIABLES MODELO'!$B$5,30)</f>
        <v>90</v>
      </c>
      <c r="N126" s="3">
        <f>IF(A126&lt;=15,MROUND(M126/'VARIABLES MODELO'!$B$11,0.5),MROUND(M126/'VARIABLES MODELO'!$B$12,0.5))</f>
        <v>3</v>
      </c>
      <c r="O126" s="3">
        <f>IF(A126&lt;=15,SUM($M$4:M126)/'VARIABLES MODELO'!$B$11,SUM($M$19:M126)/'VARIABLES MODELO'!$B$12)</f>
        <v>275</v>
      </c>
    </row>
    <row r="127" spans="1:15" x14ac:dyDescent="0.45">
      <c r="A127">
        <v>124</v>
      </c>
      <c r="B127" s="50">
        <f>'VARIABLES MODELO'!$B$4+A127-1</f>
        <v>46408</v>
      </c>
      <c r="C127" t="str">
        <f t="shared" si="15"/>
        <v>Precoz 19%</v>
      </c>
      <c r="D127" s="3">
        <f t="shared" si="14"/>
        <v>113.95</v>
      </c>
      <c r="E127" s="3">
        <f>PRECOZ!C114</f>
        <v>0.7</v>
      </c>
      <c r="F127" s="77">
        <f>IF(A127&lt;=5,'VARIABLES MODELO'!$B$13,IF(A127&lt;=15,'VARIABLES MODELO'!$B$14,IF(A127&lt;=50,'VARIABLES MODELO'!$B$15,IF(A127&lt;=80,'VARIABLES MODELO'!$B$16,IF(A127&lt;=120,'VARIABLES MODELO'!$B$17,'VARIABLES MODELO'!$B$18)))))</f>
        <v>2.5000000000000001E-2</v>
      </c>
      <c r="G127" s="5">
        <f t="shared" si="16"/>
        <v>2.8487500000000003</v>
      </c>
      <c r="H127" s="78"/>
      <c r="I127" s="5">
        <f t="shared" si="17"/>
        <v>2.8487500000000003</v>
      </c>
      <c r="J127" s="51">
        <f>IF(A127&lt;=15,'VARIABLES MODELO'!$B$8,'VARIABLES MODELO'!$B$10)</f>
        <v>509.36</v>
      </c>
      <c r="K127" s="51">
        <f t="shared" si="18"/>
        <v>1451.0393000000001</v>
      </c>
      <c r="L127" s="51">
        <f>SUM($K$4:K127)</f>
        <v>152161.80541399991</v>
      </c>
      <c r="M127" s="3">
        <f>MROUND(I127*'VARIABLES MODELO'!$B$5,30)</f>
        <v>90</v>
      </c>
      <c r="N127" s="3">
        <f>IF(A127&lt;=15,MROUND(M127/'VARIABLES MODELO'!$B$11,0.5),MROUND(M127/'VARIABLES MODELO'!$B$12,0.5))</f>
        <v>3</v>
      </c>
      <c r="O127" s="3">
        <f>IF(A127&lt;=15,SUM($M$4:M127)/'VARIABLES MODELO'!$B$11,SUM($M$19:M127)/'VARIABLES MODELO'!$B$12)</f>
        <v>278</v>
      </c>
    </row>
    <row r="128" spans="1:15" x14ac:dyDescent="0.45">
      <c r="A128">
        <v>125</v>
      </c>
      <c r="B128" s="50">
        <f>'VARIABLES MODELO'!$B$4+A128-1</f>
        <v>46409</v>
      </c>
      <c r="C128" t="str">
        <f t="shared" si="15"/>
        <v>Precoz 19%</v>
      </c>
      <c r="D128" s="3">
        <f t="shared" si="14"/>
        <v>114.65</v>
      </c>
      <c r="E128" s="3">
        <f>PRECOZ!C115</f>
        <v>0.7</v>
      </c>
      <c r="F128" s="77">
        <f>IF(A128&lt;=5,'VARIABLES MODELO'!$B$13,IF(A128&lt;=15,'VARIABLES MODELO'!$B$14,IF(A128&lt;=50,'VARIABLES MODELO'!$B$15,IF(A128&lt;=80,'VARIABLES MODELO'!$B$16,IF(A128&lt;=120,'VARIABLES MODELO'!$B$17,'VARIABLES MODELO'!$B$18)))))</f>
        <v>2.5000000000000001E-2</v>
      </c>
      <c r="G128" s="5">
        <f t="shared" si="16"/>
        <v>2.8662500000000004</v>
      </c>
      <c r="H128" s="78"/>
      <c r="I128" s="5">
        <f t="shared" si="17"/>
        <v>2.8662500000000004</v>
      </c>
      <c r="J128" s="51">
        <f>IF(A128&lt;=15,'VARIABLES MODELO'!$B$8,'VARIABLES MODELO'!$B$10)</f>
        <v>509.36</v>
      </c>
      <c r="K128" s="51">
        <f t="shared" si="18"/>
        <v>1459.9531000000002</v>
      </c>
      <c r="L128" s="51">
        <f>SUM($K$4:K128)</f>
        <v>153621.75851399993</v>
      </c>
      <c r="M128" s="3">
        <f>MROUND(I128*'VARIABLES MODELO'!$B$5,30)</f>
        <v>90</v>
      </c>
      <c r="N128" s="3">
        <f>IF(A128&lt;=15,MROUND(M128/'VARIABLES MODELO'!$B$11,0.5),MROUND(M128/'VARIABLES MODELO'!$B$12,0.5))</f>
        <v>3</v>
      </c>
      <c r="O128" s="3">
        <f>IF(A128&lt;=15,SUM($M$4:M128)/'VARIABLES MODELO'!$B$11,SUM($M$19:M128)/'VARIABLES MODELO'!$B$12)</f>
        <v>281</v>
      </c>
    </row>
    <row r="129" spans="1:15" x14ac:dyDescent="0.45">
      <c r="A129">
        <v>126</v>
      </c>
      <c r="B129" s="50">
        <f>'VARIABLES MODELO'!$B$4+A129-1</f>
        <v>46410</v>
      </c>
      <c r="C129" t="str">
        <f t="shared" si="15"/>
        <v>Precoz 19%</v>
      </c>
      <c r="D129" s="3">
        <f t="shared" si="14"/>
        <v>115.35000000000001</v>
      </c>
      <c r="E129" s="3">
        <f>PRECOZ!C116</f>
        <v>0.7</v>
      </c>
      <c r="F129" s="77">
        <f>IF(A129&lt;=5,'VARIABLES MODELO'!$B$13,IF(A129&lt;=15,'VARIABLES MODELO'!$B$14,IF(A129&lt;=50,'VARIABLES MODELO'!$B$15,IF(A129&lt;=80,'VARIABLES MODELO'!$B$16,IF(A129&lt;=120,'VARIABLES MODELO'!$B$17,'VARIABLES MODELO'!$B$18)))))</f>
        <v>2.5000000000000001E-2</v>
      </c>
      <c r="G129" s="5">
        <f t="shared" si="16"/>
        <v>2.8837500000000005</v>
      </c>
      <c r="H129" s="78"/>
      <c r="I129" s="5">
        <f t="shared" si="17"/>
        <v>2.8837500000000005</v>
      </c>
      <c r="J129" s="51">
        <f>IF(A129&lt;=15,'VARIABLES MODELO'!$B$8,'VARIABLES MODELO'!$B$10)</f>
        <v>509.36</v>
      </c>
      <c r="K129" s="51">
        <f t="shared" si="18"/>
        <v>1468.8669000000002</v>
      </c>
      <c r="L129" s="51">
        <f>SUM($K$4:K129)</f>
        <v>155090.62541399992</v>
      </c>
      <c r="M129" s="3">
        <f>MROUND(I129*'VARIABLES MODELO'!$B$5,30)</f>
        <v>90</v>
      </c>
      <c r="N129" s="3">
        <f>IF(A129&lt;=15,MROUND(M129/'VARIABLES MODELO'!$B$11,0.5),MROUND(M129/'VARIABLES MODELO'!$B$12,0.5))</f>
        <v>3</v>
      </c>
      <c r="O129" s="3">
        <f>IF(A129&lt;=15,SUM($M$4:M129)/'VARIABLES MODELO'!$B$11,SUM($M$19:M129)/'VARIABLES MODELO'!$B$12)</f>
        <v>284</v>
      </c>
    </row>
    <row r="130" spans="1:15" x14ac:dyDescent="0.45">
      <c r="A130">
        <v>127</v>
      </c>
      <c r="B130" s="50">
        <f>'VARIABLES MODELO'!$B$4+A130-1</f>
        <v>46411</v>
      </c>
      <c r="C130" t="str">
        <f t="shared" si="15"/>
        <v>Precoz 19%</v>
      </c>
      <c r="D130" s="3">
        <f t="shared" si="14"/>
        <v>116.05000000000001</v>
      </c>
      <c r="E130" s="3">
        <f>PRECOZ!C117</f>
        <v>0.7</v>
      </c>
      <c r="F130" s="77">
        <f>IF(A130&lt;=5,'VARIABLES MODELO'!$B$13,IF(A130&lt;=15,'VARIABLES MODELO'!$B$14,IF(A130&lt;=50,'VARIABLES MODELO'!$B$15,IF(A130&lt;=80,'VARIABLES MODELO'!$B$16,IF(A130&lt;=120,'VARIABLES MODELO'!$B$17,'VARIABLES MODELO'!$B$18)))))</f>
        <v>2.5000000000000001E-2</v>
      </c>
      <c r="G130" s="5">
        <f t="shared" si="16"/>
        <v>2.9012500000000006</v>
      </c>
      <c r="H130" s="78"/>
      <c r="I130" s="5">
        <f t="shared" si="17"/>
        <v>2.9012500000000006</v>
      </c>
      <c r="J130" s="51">
        <f>IF(A130&lt;=15,'VARIABLES MODELO'!$B$8,'VARIABLES MODELO'!$B$10)</f>
        <v>509.36</v>
      </c>
      <c r="K130" s="51">
        <f t="shared" si="18"/>
        <v>1477.7807000000003</v>
      </c>
      <c r="L130" s="51">
        <f>SUM($K$4:K130)</f>
        <v>156568.40611399992</v>
      </c>
      <c r="M130" s="3">
        <f>MROUND(I130*'VARIABLES MODELO'!$B$5,30)</f>
        <v>90</v>
      </c>
      <c r="N130" s="3">
        <f>IF(A130&lt;=15,MROUND(M130/'VARIABLES MODELO'!$B$11,0.5),MROUND(M130/'VARIABLES MODELO'!$B$12,0.5))</f>
        <v>3</v>
      </c>
      <c r="O130" s="3">
        <f>IF(A130&lt;=15,SUM($M$4:M130)/'VARIABLES MODELO'!$B$11,SUM($M$19:M130)/'VARIABLES MODELO'!$B$12)</f>
        <v>287</v>
      </c>
    </row>
    <row r="131" spans="1:15" x14ac:dyDescent="0.45">
      <c r="A131">
        <v>128</v>
      </c>
      <c r="B131" s="50">
        <f>'VARIABLES MODELO'!$B$4+A131-1</f>
        <v>46412</v>
      </c>
      <c r="C131" t="str">
        <f t="shared" si="15"/>
        <v>Precoz 19%</v>
      </c>
      <c r="D131" s="3">
        <f t="shared" si="14"/>
        <v>116.75000000000001</v>
      </c>
      <c r="E131" s="3">
        <f>PRECOZ!C118</f>
        <v>0.7</v>
      </c>
      <c r="F131" s="77">
        <f>IF(A131&lt;=5,'VARIABLES MODELO'!$B$13,IF(A131&lt;=15,'VARIABLES MODELO'!$B$14,IF(A131&lt;=50,'VARIABLES MODELO'!$B$15,IF(A131&lt;=80,'VARIABLES MODELO'!$B$16,IF(A131&lt;=120,'VARIABLES MODELO'!$B$17,'VARIABLES MODELO'!$B$18)))))</f>
        <v>2.5000000000000001E-2</v>
      </c>
      <c r="G131" s="5">
        <f t="shared" si="16"/>
        <v>2.9187500000000006</v>
      </c>
      <c r="H131" s="78"/>
      <c r="I131" s="5">
        <f t="shared" si="17"/>
        <v>2.9187500000000006</v>
      </c>
      <c r="J131" s="51">
        <f>IF(A131&lt;=15,'VARIABLES MODELO'!$B$8,'VARIABLES MODELO'!$B$10)</f>
        <v>509.36</v>
      </c>
      <c r="K131" s="51">
        <f t="shared" si="18"/>
        <v>1486.6945000000003</v>
      </c>
      <c r="L131" s="51">
        <f>SUM($K$4:K131)</f>
        <v>158055.10061399994</v>
      </c>
      <c r="M131" s="3">
        <f>MROUND(I131*'VARIABLES MODELO'!$B$5,30)</f>
        <v>90</v>
      </c>
      <c r="N131" s="3">
        <f>IF(A131&lt;=15,MROUND(M131/'VARIABLES MODELO'!$B$11,0.5),MROUND(M131/'VARIABLES MODELO'!$B$12,0.5))</f>
        <v>3</v>
      </c>
      <c r="O131" s="3">
        <f>IF(A131&lt;=15,SUM($M$4:M131)/'VARIABLES MODELO'!$B$11,SUM($M$19:M131)/'VARIABLES MODELO'!$B$12)</f>
        <v>290</v>
      </c>
    </row>
    <row r="132" spans="1:15" x14ac:dyDescent="0.45">
      <c r="A132">
        <v>129</v>
      </c>
      <c r="B132" s="50">
        <f>'VARIABLES MODELO'!$B$4+A132-1</f>
        <v>46413</v>
      </c>
      <c r="C132" t="str">
        <f t="shared" ref="C132:C153" si="19">IF(A132&lt;=15,"Hiper-Precoz 23%","Precoz 19%")</f>
        <v>Precoz 19%</v>
      </c>
      <c r="D132" s="3">
        <f t="shared" si="14"/>
        <v>117.45000000000002</v>
      </c>
      <c r="E132" s="3">
        <f>PRECOZ!C119</f>
        <v>0.7</v>
      </c>
      <c r="F132" s="77">
        <f>IF(A132&lt;=5,'VARIABLES MODELO'!$B$13,IF(A132&lt;=15,'VARIABLES MODELO'!$B$14,IF(A132&lt;=50,'VARIABLES MODELO'!$B$15,IF(A132&lt;=80,'VARIABLES MODELO'!$B$16,IF(A132&lt;=120,'VARIABLES MODELO'!$B$17,'VARIABLES MODELO'!$B$18)))))</f>
        <v>2.5000000000000001E-2</v>
      </c>
      <c r="G132" s="5">
        <f t="shared" ref="G132:G163" si="20">D132*F132</f>
        <v>2.9362500000000007</v>
      </c>
      <c r="H132" s="78"/>
      <c r="I132" s="5">
        <f t="shared" ref="I132:I163" si="21">IF(H132="",G132,H132)</f>
        <v>2.9362500000000007</v>
      </c>
      <c r="J132" s="51">
        <f>IF(A132&lt;=15,'VARIABLES MODELO'!$B$8,'VARIABLES MODELO'!$B$10)</f>
        <v>509.36</v>
      </c>
      <c r="K132" s="51">
        <f t="shared" ref="K132:K163" si="22">I132*J132</f>
        <v>1495.6083000000003</v>
      </c>
      <c r="L132" s="51">
        <f>SUM($K$4:K132)</f>
        <v>159550.70891399993</v>
      </c>
      <c r="M132" s="3">
        <f>MROUND(I132*'VARIABLES MODELO'!$B$5,30)</f>
        <v>90</v>
      </c>
      <c r="N132" s="3">
        <f>IF(A132&lt;=15,MROUND(M132/'VARIABLES MODELO'!$B$11,0.5),MROUND(M132/'VARIABLES MODELO'!$B$12,0.5))</f>
        <v>3</v>
      </c>
      <c r="O132" s="3">
        <f>IF(A132&lt;=15,SUM($M$4:M132)/'VARIABLES MODELO'!$B$11,SUM($M$19:M132)/'VARIABLES MODELO'!$B$12)</f>
        <v>293</v>
      </c>
    </row>
    <row r="133" spans="1:15" x14ac:dyDescent="0.45">
      <c r="A133">
        <v>130</v>
      </c>
      <c r="B133" s="50">
        <f>'VARIABLES MODELO'!$B$4+A133-1</f>
        <v>46414</v>
      </c>
      <c r="C133" t="str">
        <f t="shared" si="19"/>
        <v>Precoz 19%</v>
      </c>
      <c r="D133" s="3">
        <f t="shared" si="14"/>
        <v>118.15000000000002</v>
      </c>
      <c r="E133" s="3">
        <f>PRECOZ!C120</f>
        <v>0.7</v>
      </c>
      <c r="F133" s="77">
        <f>IF(A133&lt;=5,'VARIABLES MODELO'!$B$13,IF(A133&lt;=15,'VARIABLES MODELO'!$B$14,IF(A133&lt;=50,'VARIABLES MODELO'!$B$15,IF(A133&lt;=80,'VARIABLES MODELO'!$B$16,IF(A133&lt;=120,'VARIABLES MODELO'!$B$17,'VARIABLES MODELO'!$B$18)))))</f>
        <v>2.5000000000000001E-2</v>
      </c>
      <c r="G133" s="5">
        <f t="shared" si="20"/>
        <v>2.9537500000000008</v>
      </c>
      <c r="H133" s="78"/>
      <c r="I133" s="5">
        <f t="shared" si="21"/>
        <v>2.9537500000000008</v>
      </c>
      <c r="J133" s="51">
        <f>IF(A133&lt;=15,'VARIABLES MODELO'!$B$8,'VARIABLES MODELO'!$B$10)</f>
        <v>509.36</v>
      </c>
      <c r="K133" s="51">
        <f t="shared" si="22"/>
        <v>1504.5221000000004</v>
      </c>
      <c r="L133" s="51">
        <f>SUM($K$4:K133)</f>
        <v>161055.23101399993</v>
      </c>
      <c r="M133" s="3">
        <f>MROUND(I133*'VARIABLES MODELO'!$B$5,30)</f>
        <v>90</v>
      </c>
      <c r="N133" s="3">
        <f>IF(A133&lt;=15,MROUND(M133/'VARIABLES MODELO'!$B$11,0.5),MROUND(M133/'VARIABLES MODELO'!$B$12,0.5))</f>
        <v>3</v>
      </c>
      <c r="O133" s="3">
        <f>IF(A133&lt;=15,SUM($M$4:M133)/'VARIABLES MODELO'!$B$11,SUM($M$19:M133)/'VARIABLES MODELO'!$B$12)</f>
        <v>296</v>
      </c>
    </row>
    <row r="134" spans="1:15" x14ac:dyDescent="0.45">
      <c r="A134">
        <v>131</v>
      </c>
      <c r="B134" s="50">
        <f>'VARIABLES MODELO'!$B$4+A134-1</f>
        <v>46415</v>
      </c>
      <c r="C134" t="str">
        <f t="shared" si="19"/>
        <v>Precoz 19%</v>
      </c>
      <c r="D134" s="3">
        <f t="shared" si="14"/>
        <v>118.85000000000002</v>
      </c>
      <c r="E134" s="3">
        <f>PRECOZ!C121</f>
        <v>0.7</v>
      </c>
      <c r="F134" s="77">
        <f>IF(A134&lt;=5,'VARIABLES MODELO'!$B$13,IF(A134&lt;=15,'VARIABLES MODELO'!$B$14,IF(A134&lt;=50,'VARIABLES MODELO'!$B$15,IF(A134&lt;=80,'VARIABLES MODELO'!$B$16,IF(A134&lt;=120,'VARIABLES MODELO'!$B$17,'VARIABLES MODELO'!$B$18)))))</f>
        <v>2.5000000000000001E-2</v>
      </c>
      <c r="G134" s="5">
        <f t="shared" si="20"/>
        <v>2.9712500000000008</v>
      </c>
      <c r="H134" s="78"/>
      <c r="I134" s="5">
        <f t="shared" si="21"/>
        <v>2.9712500000000008</v>
      </c>
      <c r="J134" s="51">
        <f>IF(A134&lt;=15,'VARIABLES MODELO'!$B$8,'VARIABLES MODELO'!$B$10)</f>
        <v>509.36</v>
      </c>
      <c r="K134" s="51">
        <f t="shared" si="22"/>
        <v>1513.4359000000004</v>
      </c>
      <c r="L134" s="51">
        <f>SUM($K$4:K134)</f>
        <v>162568.66691399994</v>
      </c>
      <c r="M134" s="3">
        <f>MROUND(I134*'VARIABLES MODELO'!$B$5,30)</f>
        <v>90</v>
      </c>
      <c r="N134" s="3">
        <f>IF(A134&lt;=15,MROUND(M134/'VARIABLES MODELO'!$B$11,0.5),MROUND(M134/'VARIABLES MODELO'!$B$12,0.5))</f>
        <v>3</v>
      </c>
      <c r="O134" s="3">
        <f>IF(A134&lt;=15,SUM($M$4:M134)/'VARIABLES MODELO'!$B$11,SUM($M$19:M134)/'VARIABLES MODELO'!$B$12)</f>
        <v>299</v>
      </c>
    </row>
    <row r="135" spans="1:15" x14ac:dyDescent="0.45">
      <c r="A135">
        <v>132</v>
      </c>
      <c r="B135" s="50">
        <f>'VARIABLES MODELO'!$B$4+A135-1</f>
        <v>46416</v>
      </c>
      <c r="C135" t="str">
        <f t="shared" si="19"/>
        <v>Precoz 19%</v>
      </c>
      <c r="D135" s="3">
        <f t="shared" si="14"/>
        <v>119.55000000000003</v>
      </c>
      <c r="E135" s="3">
        <f>PRECOZ!C122</f>
        <v>0.7</v>
      </c>
      <c r="F135" s="77">
        <f>IF(A135&lt;=5,'VARIABLES MODELO'!$B$13,IF(A135&lt;=15,'VARIABLES MODELO'!$B$14,IF(A135&lt;=50,'VARIABLES MODELO'!$B$15,IF(A135&lt;=80,'VARIABLES MODELO'!$B$16,IF(A135&lt;=120,'VARIABLES MODELO'!$B$17,'VARIABLES MODELO'!$B$18)))))</f>
        <v>2.5000000000000001E-2</v>
      </c>
      <c r="G135" s="5">
        <f t="shared" si="20"/>
        <v>2.9887500000000009</v>
      </c>
      <c r="H135" s="78"/>
      <c r="I135" s="5">
        <f t="shared" si="21"/>
        <v>2.9887500000000009</v>
      </c>
      <c r="J135" s="51">
        <f>IF(A135&lt;=15,'VARIABLES MODELO'!$B$8,'VARIABLES MODELO'!$B$10)</f>
        <v>509.36</v>
      </c>
      <c r="K135" s="51">
        <f t="shared" si="22"/>
        <v>1522.3497000000004</v>
      </c>
      <c r="L135" s="51">
        <f>SUM($K$4:K135)</f>
        <v>164091.01661399993</v>
      </c>
      <c r="M135" s="3">
        <f>MROUND(I135*'VARIABLES MODELO'!$B$5,30)</f>
        <v>90</v>
      </c>
      <c r="N135" s="3">
        <f>IF(A135&lt;=15,MROUND(M135/'VARIABLES MODELO'!$B$11,0.5),MROUND(M135/'VARIABLES MODELO'!$B$12,0.5))</f>
        <v>3</v>
      </c>
      <c r="O135" s="3">
        <f>IF(A135&lt;=15,SUM($M$4:M135)/'VARIABLES MODELO'!$B$11,SUM($M$19:M135)/'VARIABLES MODELO'!$B$12)</f>
        <v>302</v>
      </c>
    </row>
    <row r="136" spans="1:15" x14ac:dyDescent="0.45">
      <c r="A136">
        <v>133</v>
      </c>
      <c r="B136" s="50">
        <f>'VARIABLES MODELO'!$B$4+A136-1</f>
        <v>46417</v>
      </c>
      <c r="C136" t="str">
        <f t="shared" si="19"/>
        <v>Precoz 19%</v>
      </c>
      <c r="D136" s="3">
        <f t="shared" si="14"/>
        <v>120.25000000000003</v>
      </c>
      <c r="E136" s="3">
        <f>PRECOZ!C123</f>
        <v>0.7</v>
      </c>
      <c r="F136" s="77">
        <f>IF(A136&lt;=5,'VARIABLES MODELO'!$B$13,IF(A136&lt;=15,'VARIABLES MODELO'!$B$14,IF(A136&lt;=50,'VARIABLES MODELO'!$B$15,IF(A136&lt;=80,'VARIABLES MODELO'!$B$16,IF(A136&lt;=120,'VARIABLES MODELO'!$B$17,'VARIABLES MODELO'!$B$18)))))</f>
        <v>2.5000000000000001E-2</v>
      </c>
      <c r="G136" s="5">
        <f t="shared" si="20"/>
        <v>3.006250000000001</v>
      </c>
      <c r="H136" s="78"/>
      <c r="I136" s="5">
        <f t="shared" si="21"/>
        <v>3.006250000000001</v>
      </c>
      <c r="J136" s="51">
        <f>IF(A136&lt;=15,'VARIABLES MODELO'!$B$8,'VARIABLES MODELO'!$B$10)</f>
        <v>509.36</v>
      </c>
      <c r="K136" s="51">
        <f t="shared" si="22"/>
        <v>1531.2635000000005</v>
      </c>
      <c r="L136" s="51">
        <f>SUM($K$4:K136)</f>
        <v>165622.28011399994</v>
      </c>
      <c r="M136" s="3">
        <f>MROUND(I136*'VARIABLES MODELO'!$B$5,30)</f>
        <v>90</v>
      </c>
      <c r="N136" s="3">
        <f>IF(A136&lt;=15,MROUND(M136/'VARIABLES MODELO'!$B$11,0.5),MROUND(M136/'VARIABLES MODELO'!$B$12,0.5))</f>
        <v>3</v>
      </c>
      <c r="O136" s="3">
        <f>IF(A136&lt;=15,SUM($M$4:M136)/'VARIABLES MODELO'!$B$11,SUM($M$19:M136)/'VARIABLES MODELO'!$B$12)</f>
        <v>305</v>
      </c>
    </row>
    <row r="137" spans="1:15" x14ac:dyDescent="0.45">
      <c r="A137">
        <v>134</v>
      </c>
      <c r="B137" s="50">
        <f>'VARIABLES MODELO'!$B$4+A137-1</f>
        <v>46418</v>
      </c>
      <c r="C137" t="str">
        <f t="shared" si="19"/>
        <v>Precoz 19%</v>
      </c>
      <c r="D137" s="3">
        <f t="shared" si="14"/>
        <v>120.95000000000003</v>
      </c>
      <c r="E137" s="3">
        <f>PRECOZ!C124</f>
        <v>0.7</v>
      </c>
      <c r="F137" s="77">
        <f>IF(A137&lt;=5,'VARIABLES MODELO'!$B$13,IF(A137&lt;=15,'VARIABLES MODELO'!$B$14,IF(A137&lt;=50,'VARIABLES MODELO'!$B$15,IF(A137&lt;=80,'VARIABLES MODELO'!$B$16,IF(A137&lt;=120,'VARIABLES MODELO'!$B$17,'VARIABLES MODELO'!$B$18)))))</f>
        <v>2.5000000000000001E-2</v>
      </c>
      <c r="G137" s="5">
        <f t="shared" si="20"/>
        <v>3.023750000000001</v>
      </c>
      <c r="H137" s="78"/>
      <c r="I137" s="5">
        <f t="shared" si="21"/>
        <v>3.023750000000001</v>
      </c>
      <c r="J137" s="51">
        <f>IF(A137&lt;=15,'VARIABLES MODELO'!$B$8,'VARIABLES MODELO'!$B$10)</f>
        <v>509.36</v>
      </c>
      <c r="K137" s="51">
        <f t="shared" si="22"/>
        <v>1540.1773000000005</v>
      </c>
      <c r="L137" s="51">
        <f>SUM($K$4:K137)</f>
        <v>167162.45741399995</v>
      </c>
      <c r="M137" s="3">
        <f>MROUND(I137*'VARIABLES MODELO'!$B$5,30)</f>
        <v>90</v>
      </c>
      <c r="N137" s="3">
        <f>IF(A137&lt;=15,MROUND(M137/'VARIABLES MODELO'!$B$11,0.5),MROUND(M137/'VARIABLES MODELO'!$B$12,0.5))</f>
        <v>3</v>
      </c>
      <c r="O137" s="3">
        <f>IF(A137&lt;=15,SUM($M$4:M137)/'VARIABLES MODELO'!$B$11,SUM($M$19:M137)/'VARIABLES MODELO'!$B$12)</f>
        <v>308</v>
      </c>
    </row>
    <row r="138" spans="1:15" x14ac:dyDescent="0.45">
      <c r="A138">
        <v>135</v>
      </c>
      <c r="B138" s="50">
        <f>'VARIABLES MODELO'!$B$4+A138-1</f>
        <v>46419</v>
      </c>
      <c r="C138" t="str">
        <f t="shared" si="19"/>
        <v>Precoz 19%</v>
      </c>
      <c r="D138" s="3">
        <f t="shared" si="14"/>
        <v>121.65000000000003</v>
      </c>
      <c r="E138" s="3">
        <f>PRECOZ!C125</f>
        <v>0.7</v>
      </c>
      <c r="F138" s="77">
        <f>IF(A138&lt;=5,'VARIABLES MODELO'!$B$13,IF(A138&lt;=15,'VARIABLES MODELO'!$B$14,IF(A138&lt;=50,'VARIABLES MODELO'!$B$15,IF(A138&lt;=80,'VARIABLES MODELO'!$B$16,IF(A138&lt;=120,'VARIABLES MODELO'!$B$17,'VARIABLES MODELO'!$B$18)))))</f>
        <v>2.5000000000000001E-2</v>
      </c>
      <c r="G138" s="5">
        <f t="shared" si="20"/>
        <v>3.0412500000000011</v>
      </c>
      <c r="H138" s="78"/>
      <c r="I138" s="5">
        <f t="shared" si="21"/>
        <v>3.0412500000000011</v>
      </c>
      <c r="J138" s="51">
        <f>IF(A138&lt;=15,'VARIABLES MODELO'!$B$8,'VARIABLES MODELO'!$B$10)</f>
        <v>509.36</v>
      </c>
      <c r="K138" s="51">
        <f t="shared" si="22"/>
        <v>1549.0911000000006</v>
      </c>
      <c r="L138" s="51">
        <f>SUM($K$4:K138)</f>
        <v>168711.54851399994</v>
      </c>
      <c r="M138" s="3">
        <f>MROUND(I138*'VARIABLES MODELO'!$B$5,30)</f>
        <v>90</v>
      </c>
      <c r="N138" s="3">
        <f>IF(A138&lt;=15,MROUND(M138/'VARIABLES MODELO'!$B$11,0.5),MROUND(M138/'VARIABLES MODELO'!$B$12,0.5))</f>
        <v>3</v>
      </c>
      <c r="O138" s="3">
        <f>IF(A138&lt;=15,SUM($M$4:M138)/'VARIABLES MODELO'!$B$11,SUM($M$19:M138)/'VARIABLES MODELO'!$B$12)</f>
        <v>311</v>
      </c>
    </row>
    <row r="139" spans="1:15" x14ac:dyDescent="0.45">
      <c r="A139">
        <v>136</v>
      </c>
      <c r="B139" s="50">
        <f>'VARIABLES MODELO'!$B$4+A139-1</f>
        <v>46420</v>
      </c>
      <c r="C139" t="str">
        <f t="shared" si="19"/>
        <v>Precoz 19%</v>
      </c>
      <c r="D139" s="3">
        <f t="shared" si="14"/>
        <v>122.35000000000004</v>
      </c>
      <c r="E139" s="3">
        <f>PRECOZ!C126</f>
        <v>0.7</v>
      </c>
      <c r="F139" s="77">
        <f>IF(A139&lt;=5,'VARIABLES MODELO'!$B$13,IF(A139&lt;=15,'VARIABLES MODELO'!$B$14,IF(A139&lt;=50,'VARIABLES MODELO'!$B$15,IF(A139&lt;=80,'VARIABLES MODELO'!$B$16,IF(A139&lt;=120,'VARIABLES MODELO'!$B$17,'VARIABLES MODELO'!$B$18)))))</f>
        <v>2.5000000000000001E-2</v>
      </c>
      <c r="G139" s="5">
        <f t="shared" si="20"/>
        <v>3.0587500000000012</v>
      </c>
      <c r="H139" s="78"/>
      <c r="I139" s="5">
        <f t="shared" si="21"/>
        <v>3.0587500000000012</v>
      </c>
      <c r="J139" s="51">
        <f>IF(A139&lt;=15,'VARIABLES MODELO'!$B$8,'VARIABLES MODELO'!$B$10)</f>
        <v>509.36</v>
      </c>
      <c r="K139" s="51">
        <f t="shared" si="22"/>
        <v>1558.0049000000006</v>
      </c>
      <c r="L139" s="51">
        <f>SUM($K$4:K139)</f>
        <v>170269.55341399994</v>
      </c>
      <c r="M139" s="3">
        <f>MROUND(I139*'VARIABLES MODELO'!$B$5,30)</f>
        <v>90</v>
      </c>
      <c r="N139" s="3">
        <f>IF(A139&lt;=15,MROUND(M139/'VARIABLES MODELO'!$B$11,0.5),MROUND(M139/'VARIABLES MODELO'!$B$12,0.5))</f>
        <v>3</v>
      </c>
      <c r="O139" s="3">
        <f>IF(A139&lt;=15,SUM($M$4:M139)/'VARIABLES MODELO'!$B$11,SUM($M$19:M139)/'VARIABLES MODELO'!$B$12)</f>
        <v>314</v>
      </c>
    </row>
    <row r="140" spans="1:15" x14ac:dyDescent="0.45">
      <c r="A140">
        <v>137</v>
      </c>
      <c r="B140" s="50">
        <f>'VARIABLES MODELO'!$B$4+A140-1</f>
        <v>46421</v>
      </c>
      <c r="C140" t="str">
        <f t="shared" si="19"/>
        <v>Precoz 19%</v>
      </c>
      <c r="D140" s="3">
        <f t="shared" si="14"/>
        <v>123.05000000000004</v>
      </c>
      <c r="E140" s="3">
        <f>PRECOZ!C127</f>
        <v>0.7</v>
      </c>
      <c r="F140" s="77">
        <f>IF(A140&lt;=5,'VARIABLES MODELO'!$B$13,IF(A140&lt;=15,'VARIABLES MODELO'!$B$14,IF(A140&lt;=50,'VARIABLES MODELO'!$B$15,IF(A140&lt;=80,'VARIABLES MODELO'!$B$16,IF(A140&lt;=120,'VARIABLES MODELO'!$B$17,'VARIABLES MODELO'!$B$18)))))</f>
        <v>2.5000000000000001E-2</v>
      </c>
      <c r="G140" s="5">
        <f t="shared" si="20"/>
        <v>3.0762500000000013</v>
      </c>
      <c r="H140" s="78"/>
      <c r="I140" s="5">
        <f t="shared" si="21"/>
        <v>3.0762500000000013</v>
      </c>
      <c r="J140" s="51">
        <f>IF(A140&lt;=15,'VARIABLES MODELO'!$B$8,'VARIABLES MODELO'!$B$10)</f>
        <v>509.36</v>
      </c>
      <c r="K140" s="51">
        <f t="shared" si="22"/>
        <v>1566.9187000000006</v>
      </c>
      <c r="L140" s="51">
        <f>SUM($K$4:K140)</f>
        <v>171836.47211399995</v>
      </c>
      <c r="M140" s="3">
        <f>MROUND(I140*'VARIABLES MODELO'!$B$5,30)</f>
        <v>90</v>
      </c>
      <c r="N140" s="3">
        <f>IF(A140&lt;=15,MROUND(M140/'VARIABLES MODELO'!$B$11,0.5),MROUND(M140/'VARIABLES MODELO'!$B$12,0.5))</f>
        <v>3</v>
      </c>
      <c r="O140" s="3">
        <f>IF(A140&lt;=15,SUM($M$4:M140)/'VARIABLES MODELO'!$B$11,SUM($M$19:M140)/'VARIABLES MODELO'!$B$12)</f>
        <v>317</v>
      </c>
    </row>
    <row r="141" spans="1:15" x14ac:dyDescent="0.45">
      <c r="A141">
        <v>138</v>
      </c>
      <c r="B141" s="50">
        <f>'VARIABLES MODELO'!$B$4+A141-1</f>
        <v>46422</v>
      </c>
      <c r="C141" t="str">
        <f t="shared" si="19"/>
        <v>Precoz 19%</v>
      </c>
      <c r="D141" s="3">
        <f t="shared" si="14"/>
        <v>123.75000000000004</v>
      </c>
      <c r="E141" s="3">
        <f>PRECOZ!C128</f>
        <v>0.7</v>
      </c>
      <c r="F141" s="77">
        <f>IF(A141&lt;=5,'VARIABLES MODELO'!$B$13,IF(A141&lt;=15,'VARIABLES MODELO'!$B$14,IF(A141&lt;=50,'VARIABLES MODELO'!$B$15,IF(A141&lt;=80,'VARIABLES MODELO'!$B$16,IF(A141&lt;=120,'VARIABLES MODELO'!$B$17,'VARIABLES MODELO'!$B$18)))))</f>
        <v>2.5000000000000001E-2</v>
      </c>
      <c r="G141" s="5">
        <f t="shared" si="20"/>
        <v>3.0937500000000013</v>
      </c>
      <c r="H141" s="78"/>
      <c r="I141" s="5">
        <f t="shared" si="21"/>
        <v>3.0937500000000013</v>
      </c>
      <c r="J141" s="51">
        <f>IF(A141&lt;=15,'VARIABLES MODELO'!$B$8,'VARIABLES MODELO'!$B$10)</f>
        <v>509.36</v>
      </c>
      <c r="K141" s="51">
        <f t="shared" si="22"/>
        <v>1575.8325000000007</v>
      </c>
      <c r="L141" s="51">
        <f>SUM($K$4:K141)</f>
        <v>173412.30461399994</v>
      </c>
      <c r="M141" s="3">
        <f>MROUND(I141*'VARIABLES MODELO'!$B$5,30)</f>
        <v>90</v>
      </c>
      <c r="N141" s="3">
        <f>IF(A141&lt;=15,MROUND(M141/'VARIABLES MODELO'!$B$11,0.5),MROUND(M141/'VARIABLES MODELO'!$B$12,0.5))</f>
        <v>3</v>
      </c>
      <c r="O141" s="3">
        <f>IF(A141&lt;=15,SUM($M$4:M141)/'VARIABLES MODELO'!$B$11,SUM($M$19:M141)/'VARIABLES MODELO'!$B$12)</f>
        <v>320</v>
      </c>
    </row>
    <row r="142" spans="1:15" x14ac:dyDescent="0.45">
      <c r="A142">
        <v>139</v>
      </c>
      <c r="B142" s="50">
        <f>'VARIABLES MODELO'!$B$4+A142-1</f>
        <v>46423</v>
      </c>
      <c r="C142" t="str">
        <f t="shared" si="19"/>
        <v>Precoz 19%</v>
      </c>
      <c r="D142" s="3">
        <f t="shared" si="14"/>
        <v>124.45000000000005</v>
      </c>
      <c r="E142" s="3">
        <f>PRECOZ!C129</f>
        <v>0.7</v>
      </c>
      <c r="F142" s="77">
        <f>IF(A142&lt;=5,'VARIABLES MODELO'!$B$13,IF(A142&lt;=15,'VARIABLES MODELO'!$B$14,IF(A142&lt;=50,'VARIABLES MODELO'!$B$15,IF(A142&lt;=80,'VARIABLES MODELO'!$B$16,IF(A142&lt;=120,'VARIABLES MODELO'!$B$17,'VARIABLES MODELO'!$B$18)))))</f>
        <v>2.5000000000000001E-2</v>
      </c>
      <c r="G142" s="5">
        <f t="shared" si="20"/>
        <v>3.1112500000000014</v>
      </c>
      <c r="H142" s="78"/>
      <c r="I142" s="5">
        <f t="shared" si="21"/>
        <v>3.1112500000000014</v>
      </c>
      <c r="J142" s="51">
        <f>IF(A142&lt;=15,'VARIABLES MODELO'!$B$8,'VARIABLES MODELO'!$B$10)</f>
        <v>509.36</v>
      </c>
      <c r="K142" s="51">
        <f t="shared" si="22"/>
        <v>1584.7463000000007</v>
      </c>
      <c r="L142" s="51">
        <f>SUM($K$4:K142)</f>
        <v>174997.05091399993</v>
      </c>
      <c r="M142" s="3">
        <f>MROUND(I142*'VARIABLES MODELO'!$B$5,30)</f>
        <v>90</v>
      </c>
      <c r="N142" s="3">
        <f>IF(A142&lt;=15,MROUND(M142/'VARIABLES MODELO'!$B$11,0.5),MROUND(M142/'VARIABLES MODELO'!$B$12,0.5))</f>
        <v>3</v>
      </c>
      <c r="O142" s="3">
        <f>IF(A142&lt;=15,SUM($M$4:M142)/'VARIABLES MODELO'!$B$11,SUM($M$19:M142)/'VARIABLES MODELO'!$B$12)</f>
        <v>323</v>
      </c>
    </row>
    <row r="143" spans="1:15" x14ac:dyDescent="0.45">
      <c r="A143">
        <v>140</v>
      </c>
      <c r="B143" s="50">
        <f>'VARIABLES MODELO'!$B$4+A143-1</f>
        <v>46424</v>
      </c>
      <c r="C143" t="str">
        <f t="shared" si="19"/>
        <v>Precoz 19%</v>
      </c>
      <c r="D143" s="3">
        <f t="shared" si="14"/>
        <v>125.15000000000005</v>
      </c>
      <c r="E143" s="3">
        <f>PRECOZ!C130</f>
        <v>0.7</v>
      </c>
      <c r="F143" s="77">
        <f>IF(A143&lt;=5,'VARIABLES MODELO'!$B$13,IF(A143&lt;=15,'VARIABLES MODELO'!$B$14,IF(A143&lt;=50,'VARIABLES MODELO'!$B$15,IF(A143&lt;=80,'VARIABLES MODELO'!$B$16,IF(A143&lt;=120,'VARIABLES MODELO'!$B$17,'VARIABLES MODELO'!$B$18)))))</f>
        <v>2.5000000000000001E-2</v>
      </c>
      <c r="G143" s="5">
        <f t="shared" si="20"/>
        <v>3.1287500000000015</v>
      </c>
      <c r="H143" s="78"/>
      <c r="I143" s="5">
        <f t="shared" si="21"/>
        <v>3.1287500000000015</v>
      </c>
      <c r="J143" s="51">
        <f>IF(A143&lt;=15,'VARIABLES MODELO'!$B$8,'VARIABLES MODELO'!$B$10)</f>
        <v>509.36</v>
      </c>
      <c r="K143" s="51">
        <f t="shared" si="22"/>
        <v>1593.6601000000007</v>
      </c>
      <c r="L143" s="51">
        <f>SUM($K$4:K143)</f>
        <v>176590.71101399994</v>
      </c>
      <c r="M143" s="3">
        <f>MROUND(I143*'VARIABLES MODELO'!$B$5,30)</f>
        <v>90</v>
      </c>
      <c r="N143" s="3">
        <f>IF(A143&lt;=15,MROUND(M143/'VARIABLES MODELO'!$B$11,0.5),MROUND(M143/'VARIABLES MODELO'!$B$12,0.5))</f>
        <v>3</v>
      </c>
      <c r="O143" s="3">
        <f>IF(A143&lt;=15,SUM($M$4:M143)/'VARIABLES MODELO'!$B$11,SUM($M$19:M143)/'VARIABLES MODELO'!$B$12)</f>
        <v>326</v>
      </c>
    </row>
    <row r="144" spans="1:15" x14ac:dyDescent="0.45">
      <c r="A144">
        <v>141</v>
      </c>
      <c r="B144" s="50">
        <f>'VARIABLES MODELO'!$B$4+A144-1</f>
        <v>46425</v>
      </c>
      <c r="C144" t="str">
        <f t="shared" si="19"/>
        <v>Precoz 19%</v>
      </c>
      <c r="D144" s="3">
        <f t="shared" si="14"/>
        <v>125.85000000000005</v>
      </c>
      <c r="E144" s="3">
        <f>PRECOZ!C131</f>
        <v>0.7</v>
      </c>
      <c r="F144" s="77">
        <f>IF(A144&lt;=5,'VARIABLES MODELO'!$B$13,IF(A144&lt;=15,'VARIABLES MODELO'!$B$14,IF(A144&lt;=50,'VARIABLES MODELO'!$B$15,IF(A144&lt;=80,'VARIABLES MODELO'!$B$16,IF(A144&lt;=120,'VARIABLES MODELO'!$B$17,'VARIABLES MODELO'!$B$18)))))</f>
        <v>2.5000000000000001E-2</v>
      </c>
      <c r="G144" s="5">
        <f t="shared" si="20"/>
        <v>3.1462500000000015</v>
      </c>
      <c r="H144" s="78"/>
      <c r="I144" s="5">
        <f t="shared" si="21"/>
        <v>3.1462500000000015</v>
      </c>
      <c r="J144" s="51">
        <f>IF(A144&lt;=15,'VARIABLES MODELO'!$B$8,'VARIABLES MODELO'!$B$10)</f>
        <v>509.36</v>
      </c>
      <c r="K144" s="51">
        <f t="shared" si="22"/>
        <v>1602.5739000000008</v>
      </c>
      <c r="L144" s="51">
        <f>SUM($K$4:K144)</f>
        <v>178193.28491399993</v>
      </c>
      <c r="M144" s="3">
        <f>MROUND(I144*'VARIABLES MODELO'!$B$5,30)</f>
        <v>90</v>
      </c>
      <c r="N144" s="3">
        <f>IF(A144&lt;=15,MROUND(M144/'VARIABLES MODELO'!$B$11,0.5),MROUND(M144/'VARIABLES MODELO'!$B$12,0.5))</f>
        <v>3</v>
      </c>
      <c r="O144" s="3">
        <f>IF(A144&lt;=15,SUM($M$4:M144)/'VARIABLES MODELO'!$B$11,SUM($M$19:M144)/'VARIABLES MODELO'!$B$12)</f>
        <v>329</v>
      </c>
    </row>
    <row r="145" spans="1:15" x14ac:dyDescent="0.45">
      <c r="A145">
        <v>142</v>
      </c>
      <c r="B145" s="50">
        <f>'VARIABLES MODELO'!$B$4+A145-1</f>
        <v>46426</v>
      </c>
      <c r="C145" t="str">
        <f t="shared" si="19"/>
        <v>Precoz 19%</v>
      </c>
      <c r="D145" s="3">
        <f t="shared" si="14"/>
        <v>126.55000000000005</v>
      </c>
      <c r="E145" s="3">
        <f>PRECOZ!C132</f>
        <v>0.7</v>
      </c>
      <c r="F145" s="77">
        <f>IF(A145&lt;=5,'VARIABLES MODELO'!$B$13,IF(A145&lt;=15,'VARIABLES MODELO'!$B$14,IF(A145&lt;=50,'VARIABLES MODELO'!$B$15,IF(A145&lt;=80,'VARIABLES MODELO'!$B$16,IF(A145&lt;=120,'VARIABLES MODELO'!$B$17,'VARIABLES MODELO'!$B$18)))))</f>
        <v>2.5000000000000001E-2</v>
      </c>
      <c r="G145" s="5">
        <f t="shared" si="20"/>
        <v>3.1637500000000016</v>
      </c>
      <c r="H145" s="78"/>
      <c r="I145" s="5">
        <f t="shared" si="21"/>
        <v>3.1637500000000016</v>
      </c>
      <c r="J145" s="51">
        <f>IF(A145&lt;=15,'VARIABLES MODELO'!$B$8,'VARIABLES MODELO'!$B$10)</f>
        <v>509.36</v>
      </c>
      <c r="K145" s="51">
        <f t="shared" si="22"/>
        <v>1611.4877000000008</v>
      </c>
      <c r="L145" s="51">
        <f>SUM($K$4:K145)</f>
        <v>179804.77261399993</v>
      </c>
      <c r="M145" s="3">
        <f>MROUND(I145*'VARIABLES MODELO'!$B$5,30)</f>
        <v>90</v>
      </c>
      <c r="N145" s="3">
        <f>IF(A145&lt;=15,MROUND(M145/'VARIABLES MODELO'!$B$11,0.5),MROUND(M145/'VARIABLES MODELO'!$B$12,0.5))</f>
        <v>3</v>
      </c>
      <c r="O145" s="3">
        <f>IF(A145&lt;=15,SUM($M$4:M145)/'VARIABLES MODELO'!$B$11,SUM($M$19:M145)/'VARIABLES MODELO'!$B$12)</f>
        <v>332</v>
      </c>
    </row>
    <row r="146" spans="1:15" x14ac:dyDescent="0.45">
      <c r="A146">
        <v>143</v>
      </c>
      <c r="B146" s="50">
        <f>'VARIABLES MODELO'!$B$4+A146-1</f>
        <v>46427</v>
      </c>
      <c r="C146" t="str">
        <f t="shared" si="19"/>
        <v>Precoz 19%</v>
      </c>
      <c r="D146" s="3">
        <f t="shared" si="14"/>
        <v>127.25000000000006</v>
      </c>
      <c r="E146" s="3">
        <f>PRECOZ!C133</f>
        <v>0.7</v>
      </c>
      <c r="F146" s="77">
        <f>IF(A146&lt;=5,'VARIABLES MODELO'!$B$13,IF(A146&lt;=15,'VARIABLES MODELO'!$B$14,IF(A146&lt;=50,'VARIABLES MODELO'!$B$15,IF(A146&lt;=80,'VARIABLES MODELO'!$B$16,IF(A146&lt;=120,'VARIABLES MODELO'!$B$17,'VARIABLES MODELO'!$B$18)))))</f>
        <v>2.5000000000000001E-2</v>
      </c>
      <c r="G146" s="5">
        <f t="shared" si="20"/>
        <v>3.1812500000000017</v>
      </c>
      <c r="H146" s="78"/>
      <c r="I146" s="5">
        <f t="shared" si="21"/>
        <v>3.1812500000000017</v>
      </c>
      <c r="J146" s="51">
        <f>IF(A146&lt;=15,'VARIABLES MODELO'!$B$8,'VARIABLES MODELO'!$B$10)</f>
        <v>509.36</v>
      </c>
      <c r="K146" s="51">
        <f t="shared" si="22"/>
        <v>1620.4015000000009</v>
      </c>
      <c r="L146" s="51">
        <f>SUM($K$4:K146)</f>
        <v>181425.17411399994</v>
      </c>
      <c r="M146" s="3">
        <f>MROUND(I146*'VARIABLES MODELO'!$B$5,30)</f>
        <v>90</v>
      </c>
      <c r="N146" s="3">
        <f>IF(A146&lt;=15,MROUND(M146/'VARIABLES MODELO'!$B$11,0.5),MROUND(M146/'VARIABLES MODELO'!$B$12,0.5))</f>
        <v>3</v>
      </c>
      <c r="O146" s="3">
        <f>IF(A146&lt;=15,SUM($M$4:M146)/'VARIABLES MODELO'!$B$11,SUM($M$19:M146)/'VARIABLES MODELO'!$B$12)</f>
        <v>335</v>
      </c>
    </row>
    <row r="147" spans="1:15" x14ac:dyDescent="0.45">
      <c r="A147">
        <v>144</v>
      </c>
      <c r="B147" s="50">
        <f>'VARIABLES MODELO'!$B$4+A147-1</f>
        <v>46428</v>
      </c>
      <c r="C147" t="str">
        <f t="shared" si="19"/>
        <v>Precoz 19%</v>
      </c>
      <c r="D147" s="3">
        <f t="shared" ref="D147:D153" si="23">+D146+E146</f>
        <v>127.95000000000006</v>
      </c>
      <c r="E147" s="3">
        <f>PRECOZ!C134</f>
        <v>0.7</v>
      </c>
      <c r="F147" s="77">
        <f>IF(A147&lt;=5,'VARIABLES MODELO'!$B$13,IF(A147&lt;=15,'VARIABLES MODELO'!$B$14,IF(A147&lt;=50,'VARIABLES MODELO'!$B$15,IF(A147&lt;=80,'VARIABLES MODELO'!$B$16,IF(A147&lt;=120,'VARIABLES MODELO'!$B$17,'VARIABLES MODELO'!$B$18)))))</f>
        <v>2.5000000000000001E-2</v>
      </c>
      <c r="G147" s="5">
        <f t="shared" si="20"/>
        <v>3.1987500000000018</v>
      </c>
      <c r="H147" s="78"/>
      <c r="I147" s="5">
        <f t="shared" si="21"/>
        <v>3.1987500000000018</v>
      </c>
      <c r="J147" s="51">
        <f>IF(A147&lt;=15,'VARIABLES MODELO'!$B$8,'VARIABLES MODELO'!$B$10)</f>
        <v>509.36</v>
      </c>
      <c r="K147" s="51">
        <f t="shared" si="22"/>
        <v>1629.3153000000009</v>
      </c>
      <c r="L147" s="51">
        <f>SUM($K$4:K147)</f>
        <v>183054.48941399992</v>
      </c>
      <c r="M147" s="3">
        <f>MROUND(I147*'VARIABLES MODELO'!$B$5,30)</f>
        <v>120</v>
      </c>
      <c r="N147" s="3">
        <f>IF(A147&lt;=15,MROUND(M147/'VARIABLES MODELO'!$B$11,0.5),MROUND(M147/'VARIABLES MODELO'!$B$12,0.5))</f>
        <v>4</v>
      </c>
      <c r="O147" s="3">
        <f>IF(A147&lt;=15,SUM($M$4:M147)/'VARIABLES MODELO'!$B$11,SUM($M$19:M147)/'VARIABLES MODELO'!$B$12)</f>
        <v>339</v>
      </c>
    </row>
    <row r="148" spans="1:15" x14ac:dyDescent="0.45">
      <c r="A148">
        <v>145</v>
      </c>
      <c r="B148" s="50">
        <f>'VARIABLES MODELO'!$B$4+A148-1</f>
        <v>46429</v>
      </c>
      <c r="C148" t="str">
        <f t="shared" si="19"/>
        <v>Precoz 19%</v>
      </c>
      <c r="D148" s="3">
        <f t="shared" si="23"/>
        <v>128.65000000000006</v>
      </c>
      <c r="E148" s="3">
        <f>PRECOZ!C135</f>
        <v>0.7</v>
      </c>
      <c r="F148" s="77">
        <f>IF(A148&lt;=5,'VARIABLES MODELO'!$B$13,IF(A148&lt;=15,'VARIABLES MODELO'!$B$14,IF(A148&lt;=50,'VARIABLES MODELO'!$B$15,IF(A148&lt;=80,'VARIABLES MODELO'!$B$16,IF(A148&lt;=120,'VARIABLES MODELO'!$B$17,'VARIABLES MODELO'!$B$18)))))</f>
        <v>2.5000000000000001E-2</v>
      </c>
      <c r="G148" s="5">
        <f t="shared" si="20"/>
        <v>3.2162500000000018</v>
      </c>
      <c r="H148" s="78"/>
      <c r="I148" s="5">
        <f t="shared" si="21"/>
        <v>3.2162500000000018</v>
      </c>
      <c r="J148" s="51">
        <f>IF(A148&lt;=15,'VARIABLES MODELO'!$B$8,'VARIABLES MODELO'!$B$10)</f>
        <v>509.36</v>
      </c>
      <c r="K148" s="51">
        <f t="shared" si="22"/>
        <v>1638.2291000000009</v>
      </c>
      <c r="L148" s="51">
        <f>SUM($K$4:K148)</f>
        <v>184692.71851399992</v>
      </c>
      <c r="M148" s="3">
        <f>MROUND(I148*'VARIABLES MODELO'!$B$5,30)</f>
        <v>120</v>
      </c>
      <c r="N148" s="3">
        <f>IF(A148&lt;=15,MROUND(M148/'VARIABLES MODELO'!$B$11,0.5),MROUND(M148/'VARIABLES MODELO'!$B$12,0.5))</f>
        <v>4</v>
      </c>
      <c r="O148" s="3">
        <f>IF(A148&lt;=15,SUM($M$4:M148)/'VARIABLES MODELO'!$B$11,SUM($M$19:M148)/'VARIABLES MODELO'!$B$12)</f>
        <v>343</v>
      </c>
    </row>
    <row r="149" spans="1:15" x14ac:dyDescent="0.45">
      <c r="A149">
        <v>146</v>
      </c>
      <c r="B149" s="50">
        <f>'VARIABLES MODELO'!$B$4+A149-1</f>
        <v>46430</v>
      </c>
      <c r="C149" t="str">
        <f t="shared" si="19"/>
        <v>Precoz 19%</v>
      </c>
      <c r="D149" s="3">
        <f t="shared" si="23"/>
        <v>129.35000000000005</v>
      </c>
      <c r="E149" s="3">
        <f>PRECOZ!C136</f>
        <v>0.7</v>
      </c>
      <c r="F149" s="77">
        <f>IF(A149&lt;=5,'VARIABLES MODELO'!$B$13,IF(A149&lt;=15,'VARIABLES MODELO'!$B$14,IF(A149&lt;=50,'VARIABLES MODELO'!$B$15,IF(A149&lt;=80,'VARIABLES MODELO'!$B$16,IF(A149&lt;=120,'VARIABLES MODELO'!$B$17,'VARIABLES MODELO'!$B$18)))))</f>
        <v>2.5000000000000001E-2</v>
      </c>
      <c r="G149" s="5">
        <f t="shared" si="20"/>
        <v>3.2337500000000015</v>
      </c>
      <c r="H149" s="78"/>
      <c r="I149" s="5">
        <f t="shared" si="21"/>
        <v>3.2337500000000015</v>
      </c>
      <c r="J149" s="51">
        <f>IF(A149&lt;=15,'VARIABLES MODELO'!$B$8,'VARIABLES MODELO'!$B$10)</f>
        <v>509.36</v>
      </c>
      <c r="K149" s="51">
        <f t="shared" si="22"/>
        <v>1647.1429000000007</v>
      </c>
      <c r="L149" s="51">
        <f>SUM($K$4:K149)</f>
        <v>186339.86141399993</v>
      </c>
      <c r="M149" s="3">
        <f>MROUND(I149*'VARIABLES MODELO'!$B$5,30)</f>
        <v>120</v>
      </c>
      <c r="N149" s="3">
        <f>IF(A149&lt;=15,MROUND(M149/'VARIABLES MODELO'!$B$11,0.5),MROUND(M149/'VARIABLES MODELO'!$B$12,0.5))</f>
        <v>4</v>
      </c>
      <c r="O149" s="3">
        <f>IF(A149&lt;=15,SUM($M$4:M149)/'VARIABLES MODELO'!$B$11,SUM($M$19:M149)/'VARIABLES MODELO'!$B$12)</f>
        <v>347</v>
      </c>
    </row>
    <row r="150" spans="1:15" x14ac:dyDescent="0.45">
      <c r="A150">
        <v>147</v>
      </c>
      <c r="B150" s="50">
        <f>'VARIABLES MODELO'!$B$4+A150-1</f>
        <v>46431</v>
      </c>
      <c r="C150" t="str">
        <f t="shared" si="19"/>
        <v>Precoz 19%</v>
      </c>
      <c r="D150" s="3">
        <f t="shared" si="23"/>
        <v>130.05000000000004</v>
      </c>
      <c r="E150" s="3">
        <f>PRECOZ!C137</f>
        <v>0.7</v>
      </c>
      <c r="F150" s="77">
        <f>IF(A150&lt;=5,'VARIABLES MODELO'!$B$13,IF(A150&lt;=15,'VARIABLES MODELO'!$B$14,IF(A150&lt;=50,'VARIABLES MODELO'!$B$15,IF(A150&lt;=80,'VARIABLES MODELO'!$B$16,IF(A150&lt;=120,'VARIABLES MODELO'!$B$17,'VARIABLES MODELO'!$B$18)))))</f>
        <v>2.5000000000000001E-2</v>
      </c>
      <c r="G150" s="5">
        <f t="shared" si="20"/>
        <v>3.2512500000000011</v>
      </c>
      <c r="H150" s="78"/>
      <c r="I150" s="5">
        <f t="shared" si="21"/>
        <v>3.2512500000000011</v>
      </c>
      <c r="J150" s="51">
        <f>IF(A150&lt;=15,'VARIABLES MODELO'!$B$8,'VARIABLES MODELO'!$B$10)</f>
        <v>509.36</v>
      </c>
      <c r="K150" s="51">
        <f t="shared" si="22"/>
        <v>1656.0567000000005</v>
      </c>
      <c r="L150" s="51">
        <f>SUM($K$4:K150)</f>
        <v>187995.91811399991</v>
      </c>
      <c r="M150" s="3">
        <f>MROUND(I150*'VARIABLES MODELO'!$B$5,30)</f>
        <v>120</v>
      </c>
      <c r="N150" s="3">
        <f>IF(A150&lt;=15,MROUND(M150/'VARIABLES MODELO'!$B$11,0.5),MROUND(M150/'VARIABLES MODELO'!$B$12,0.5))</f>
        <v>4</v>
      </c>
      <c r="O150" s="3">
        <f>IF(A150&lt;=15,SUM($M$4:M150)/'VARIABLES MODELO'!$B$11,SUM($M$19:M150)/'VARIABLES MODELO'!$B$12)</f>
        <v>351</v>
      </c>
    </row>
    <row r="151" spans="1:15" x14ac:dyDescent="0.45">
      <c r="A151">
        <v>148</v>
      </c>
      <c r="B151" s="50">
        <f>'VARIABLES MODELO'!$B$4+A151-1</f>
        <v>46432</v>
      </c>
      <c r="C151" t="str">
        <f t="shared" si="19"/>
        <v>Precoz 19%</v>
      </c>
      <c r="D151" s="3">
        <f t="shared" si="23"/>
        <v>130.75000000000003</v>
      </c>
      <c r="E151" s="3">
        <f>PRECOZ!C138</f>
        <v>0.7</v>
      </c>
      <c r="F151" s="77">
        <f>IF(A151&lt;=5,'VARIABLES MODELO'!$B$13,IF(A151&lt;=15,'VARIABLES MODELO'!$B$14,IF(A151&lt;=50,'VARIABLES MODELO'!$B$15,IF(A151&lt;=80,'VARIABLES MODELO'!$B$16,IF(A151&lt;=120,'VARIABLES MODELO'!$B$17,'VARIABLES MODELO'!$B$18)))))</f>
        <v>2.5000000000000001E-2</v>
      </c>
      <c r="G151" s="5">
        <f t="shared" si="20"/>
        <v>3.2687500000000007</v>
      </c>
      <c r="H151" s="78"/>
      <c r="I151" s="5">
        <f t="shared" si="21"/>
        <v>3.2687500000000007</v>
      </c>
      <c r="J151" s="51">
        <f>IF(A151&lt;=15,'VARIABLES MODELO'!$B$8,'VARIABLES MODELO'!$B$10)</f>
        <v>509.36</v>
      </c>
      <c r="K151" s="51">
        <f t="shared" si="22"/>
        <v>1664.9705000000004</v>
      </c>
      <c r="L151" s="51">
        <f>SUM($K$4:K151)</f>
        <v>189660.88861399991</v>
      </c>
      <c r="M151" s="3">
        <f>MROUND(I151*'VARIABLES MODELO'!$B$5,30)</f>
        <v>120</v>
      </c>
      <c r="N151" s="3">
        <f>IF(A151&lt;=15,MROUND(M151/'VARIABLES MODELO'!$B$11,0.5),MROUND(M151/'VARIABLES MODELO'!$B$12,0.5))</f>
        <v>4</v>
      </c>
      <c r="O151" s="3">
        <f>IF(A151&lt;=15,SUM($M$4:M151)/'VARIABLES MODELO'!$B$11,SUM($M$19:M151)/'VARIABLES MODELO'!$B$12)</f>
        <v>355</v>
      </c>
    </row>
    <row r="152" spans="1:15" x14ac:dyDescent="0.45">
      <c r="A152">
        <v>149</v>
      </c>
      <c r="B152" s="50">
        <f>'VARIABLES MODELO'!$B$4+A152-1</f>
        <v>46433</v>
      </c>
      <c r="C152" t="str">
        <f t="shared" si="19"/>
        <v>Precoz 19%</v>
      </c>
      <c r="D152" s="3">
        <f t="shared" si="23"/>
        <v>131.45000000000002</v>
      </c>
      <c r="E152" s="3">
        <f>PRECOZ!C139</f>
        <v>0.7</v>
      </c>
      <c r="F152" s="77">
        <f>IF(A152&lt;=5,'VARIABLES MODELO'!$B$13,IF(A152&lt;=15,'VARIABLES MODELO'!$B$14,IF(A152&lt;=50,'VARIABLES MODELO'!$B$15,IF(A152&lt;=80,'VARIABLES MODELO'!$B$16,IF(A152&lt;=120,'VARIABLES MODELO'!$B$17,'VARIABLES MODELO'!$B$18)))))</f>
        <v>2.5000000000000001E-2</v>
      </c>
      <c r="G152" s="5">
        <f t="shared" si="20"/>
        <v>3.2862500000000008</v>
      </c>
      <c r="H152" s="78"/>
      <c r="I152" s="5">
        <f t="shared" si="21"/>
        <v>3.2862500000000008</v>
      </c>
      <c r="J152" s="51">
        <f>IF(A152&lt;=15,'VARIABLES MODELO'!$B$8,'VARIABLES MODELO'!$B$10)</f>
        <v>509.36</v>
      </c>
      <c r="K152" s="51">
        <f t="shared" si="22"/>
        <v>1673.8843000000004</v>
      </c>
      <c r="L152" s="51">
        <f>SUM($K$4:K152)</f>
        <v>191334.77291399991</v>
      </c>
      <c r="M152" s="3">
        <f>MROUND(I152*'VARIABLES MODELO'!$B$5,30)</f>
        <v>120</v>
      </c>
      <c r="N152" s="3">
        <f>IF(A152&lt;=15,MROUND(M152/'VARIABLES MODELO'!$B$11,0.5),MROUND(M152/'VARIABLES MODELO'!$B$12,0.5))</f>
        <v>4</v>
      </c>
      <c r="O152" s="3">
        <f>IF(A152&lt;=15,SUM($M$4:M152)/'VARIABLES MODELO'!$B$11,SUM($M$19:M152)/'VARIABLES MODELO'!$B$12)</f>
        <v>359</v>
      </c>
    </row>
    <row r="153" spans="1:15" x14ac:dyDescent="0.45">
      <c r="A153">
        <v>150</v>
      </c>
      <c r="B153" s="50">
        <f>'VARIABLES MODELO'!$B$4+A153-1</f>
        <v>46434</v>
      </c>
      <c r="C153" t="str">
        <f t="shared" si="19"/>
        <v>Precoz 19%</v>
      </c>
      <c r="D153" s="3">
        <f t="shared" si="23"/>
        <v>132.15</v>
      </c>
      <c r="E153" s="3">
        <f>PRECOZ!C140</f>
        <v>0.7</v>
      </c>
      <c r="F153" s="77">
        <f>IF(A153&lt;=5,'VARIABLES MODELO'!$B$13,IF(A153&lt;=15,'VARIABLES MODELO'!$B$14,IF(A153&lt;=50,'VARIABLES MODELO'!$B$15,IF(A153&lt;=80,'VARIABLES MODELO'!$B$16,IF(A153&lt;=120,'VARIABLES MODELO'!$B$17,'VARIABLES MODELO'!$B$18)))))</f>
        <v>2.5000000000000001E-2</v>
      </c>
      <c r="G153" s="5">
        <f t="shared" si="20"/>
        <v>3.3037500000000004</v>
      </c>
      <c r="H153" s="78"/>
      <c r="I153" s="5">
        <f t="shared" si="21"/>
        <v>3.3037500000000004</v>
      </c>
      <c r="J153" s="51">
        <f>IF(A153&lt;=15,'VARIABLES MODELO'!$B$8,'VARIABLES MODELO'!$B$10)</f>
        <v>509.36</v>
      </c>
      <c r="K153" s="51">
        <f t="shared" si="22"/>
        <v>1682.7981000000002</v>
      </c>
      <c r="L153" s="51">
        <f>SUM($K$4:K153)</f>
        <v>193017.57101399993</v>
      </c>
      <c r="M153" s="3">
        <f>MROUND(I153*'VARIABLES MODELO'!$B$5,30)</f>
        <v>120</v>
      </c>
      <c r="N153" s="3">
        <f>IF(A153&lt;=15,MROUND(M153/'VARIABLES MODELO'!$B$11,0.5),MROUND(M153/'VARIABLES MODELO'!$B$12,0.5))</f>
        <v>4</v>
      </c>
      <c r="O153" s="3">
        <f>IF(A153&lt;=15,SUM($M$4:M153)/'VARIABLES MODELO'!$B$11,SUM($M$19:M153)/'VARIABLES MODELO'!$B$12)</f>
        <v>363</v>
      </c>
    </row>
  </sheetData>
  <mergeCells count="1">
    <mergeCell ref="A1:P1"/>
  </mergeCells>
  <conditionalFormatting sqref="H4:H153">
    <cfRule type="expression" dxfId="0" priority="1">
      <formula>AND(H4&lt;&gt;"",ABS(H4-G4)/G4&gt;0.1)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4"/>
  <sheetViews>
    <sheetView workbookViewId="0">
      <selection activeCell="E4" sqref="E4:E14"/>
    </sheetView>
  </sheetViews>
  <sheetFormatPr baseColWidth="10" defaultColWidth="9.06640625" defaultRowHeight="14.25" x14ac:dyDescent="0.45"/>
  <cols>
    <col min="1" max="1" width="10" customWidth="1"/>
    <col min="2" max="2" width="8" customWidth="1"/>
    <col min="3" max="3" width="12" customWidth="1"/>
    <col min="4" max="5" width="14" customWidth="1"/>
    <col min="6" max="6" width="16" customWidth="1"/>
    <col min="7" max="7" width="22" customWidth="1"/>
    <col min="8" max="8" width="12" customWidth="1"/>
    <col min="9" max="9" width="16" customWidth="1"/>
    <col min="10" max="10" width="18" customWidth="1"/>
  </cols>
  <sheetData>
    <row r="1" spans="1:10" x14ac:dyDescent="0.45">
      <c r="A1" s="72" t="s">
        <v>85</v>
      </c>
      <c r="B1" s="72"/>
      <c r="C1" s="72"/>
      <c r="D1" s="72"/>
      <c r="E1" s="72"/>
      <c r="F1" s="72"/>
      <c r="G1" s="72"/>
      <c r="H1" s="72"/>
      <c r="I1" s="72"/>
      <c r="J1" s="72"/>
    </row>
    <row r="3" spans="1:10" ht="57" x14ac:dyDescent="0.45">
      <c r="A3" s="46" t="s">
        <v>86</v>
      </c>
      <c r="B3" s="46" t="s">
        <v>71</v>
      </c>
      <c r="C3" s="46" t="s">
        <v>72</v>
      </c>
      <c r="D3" s="46" t="s">
        <v>87</v>
      </c>
      <c r="E3" s="46" t="s">
        <v>88</v>
      </c>
      <c r="F3" s="46" t="s">
        <v>89</v>
      </c>
      <c r="G3" s="46" t="s">
        <v>90</v>
      </c>
      <c r="H3" s="46" t="s">
        <v>141</v>
      </c>
      <c r="I3" s="46" t="s">
        <v>91</v>
      </c>
      <c r="J3" s="46" t="s">
        <v>92</v>
      </c>
    </row>
    <row r="4" spans="1:10" x14ac:dyDescent="0.45">
      <c r="A4" t="s">
        <v>93</v>
      </c>
      <c r="B4">
        <v>0</v>
      </c>
      <c r="C4" s="50">
        <f>+'VARIABLES MODELO'!B4</f>
        <v>46285</v>
      </c>
      <c r="D4" s="43">
        <f>+'VARIABLES MODELO'!B6</f>
        <v>55</v>
      </c>
      <c r="E4" s="52"/>
      <c r="F4" s="43" t="str">
        <f>IF(E4="","",E4-'VARIABLES MODELO'!$B$6)</f>
        <v/>
      </c>
      <c r="G4" s="43">
        <f>SUM('MODELO 150D'!$I$4:'MODELO 150D'!I4)</f>
        <v>1.1000000000000001</v>
      </c>
      <c r="H4" s="43" t="str">
        <f>IF(F4="","",G4/F4)</f>
        <v/>
      </c>
      <c r="I4" s="51">
        <f>'MODELO 150D'!L14</f>
        <v>14095.569439999999</v>
      </c>
      <c r="J4" s="51" t="str">
        <f>IF(F4="","",I4/F4)</f>
        <v/>
      </c>
    </row>
    <row r="5" spans="1:10" x14ac:dyDescent="0.45">
      <c r="A5" t="s">
        <v>94</v>
      </c>
      <c r="B5">
        <v>15</v>
      </c>
      <c r="C5" s="50">
        <f>'MODELO 150D'!B18</f>
        <v>46299</v>
      </c>
      <c r="D5" s="43">
        <f>'MODELO 150D'!D18</f>
        <v>55.04999999999999</v>
      </c>
      <c r="E5" s="52"/>
      <c r="F5" s="43" t="str">
        <f>IF(E5="","",E5-'VARIABLES MODELO'!$B$6)</f>
        <v/>
      </c>
      <c r="G5" s="43">
        <f>SUM('MODELO 150D'!$I$4:'MODELO 150D'!I18)</f>
        <v>24.579499999999996</v>
      </c>
      <c r="H5" s="43" t="str">
        <f>IF(F5="","",G5/F5)</f>
        <v/>
      </c>
      <c r="I5" s="51">
        <f>'MODELO 150D'!L18</f>
        <v>20495.861870000001</v>
      </c>
      <c r="J5" s="51" t="str">
        <f>IF(F5="","",I5/F5)</f>
        <v/>
      </c>
    </row>
    <row r="6" spans="1:10" x14ac:dyDescent="0.45">
      <c r="A6" t="s">
        <v>95</v>
      </c>
      <c r="B6">
        <v>30</v>
      </c>
      <c r="C6" s="50">
        <f>'MODELO 150D'!B33</f>
        <v>46314</v>
      </c>
      <c r="D6" s="43">
        <f>'MODELO 150D'!D33</f>
        <v>59.649999999999963</v>
      </c>
      <c r="E6" s="52"/>
      <c r="F6" s="43" t="str">
        <f>IF(E6="","",E6-'VARIABLES MODELO'!$B$6)</f>
        <v/>
      </c>
      <c r="G6" s="43">
        <f>SUM('MODELO 150D'!$I$4:'MODELO 150D'!I33)</f>
        <v>52.053099999999986</v>
      </c>
      <c r="H6" s="43" t="str">
        <f t="shared" ref="H4:H14" si="0">IF(F6="","",G6/F6)</f>
        <v/>
      </c>
      <c r="I6" s="51">
        <f>'MODELO 150D'!L33</f>
        <v>34489.814765999989</v>
      </c>
      <c r="J6" s="51" t="str">
        <f t="shared" ref="J4:J14" si="1">IF(F6="","",I6/F6)</f>
        <v/>
      </c>
    </row>
    <row r="7" spans="1:10" x14ac:dyDescent="0.45">
      <c r="A7" t="s">
        <v>96</v>
      </c>
      <c r="B7">
        <v>45</v>
      </c>
      <c r="C7" s="50">
        <f>'MODELO 150D'!B48</f>
        <v>46329</v>
      </c>
      <c r="D7" s="43">
        <f>'MODELO 150D'!D48</f>
        <v>65.849999999999966</v>
      </c>
      <c r="E7" s="52"/>
      <c r="F7" s="43" t="str">
        <f>IF(E7="","",E7-'VARIABLES MODELO'!$B$6)</f>
        <v/>
      </c>
      <c r="G7" s="43">
        <f>SUM('MODELO 150D'!$I$4:'MODELO 150D'!I48)</f>
        <v>82.23709999999997</v>
      </c>
      <c r="H7" s="43" t="str">
        <f t="shared" si="0"/>
        <v/>
      </c>
      <c r="I7" s="51">
        <f>'MODELO 150D'!L48</f>
        <v>49864.33700599998</v>
      </c>
      <c r="J7" s="51" t="str">
        <f t="shared" si="1"/>
        <v/>
      </c>
    </row>
    <row r="8" spans="1:10" x14ac:dyDescent="0.45">
      <c r="A8" t="s">
        <v>97</v>
      </c>
      <c r="B8">
        <v>60</v>
      </c>
      <c r="C8" s="50">
        <f>'MODELO 150D'!B63</f>
        <v>46344</v>
      </c>
      <c r="D8" s="43">
        <f>'MODELO 150D'!D63</f>
        <v>73.09999999999998</v>
      </c>
      <c r="E8" s="52"/>
      <c r="F8" s="43" t="str">
        <f>IF(E8="","",E8-'VARIABLES MODELO'!$B$6)</f>
        <v/>
      </c>
      <c r="G8" s="43">
        <f>SUM('MODELO 150D'!$I$4:'MODELO 150D'!I63)</f>
        <v>114.21859999999992</v>
      </c>
      <c r="H8" s="43" t="str">
        <f t="shared" si="0"/>
        <v/>
      </c>
      <c r="I8" s="51">
        <f>'MODELO 150D'!L63</f>
        <v>66154.433845999971</v>
      </c>
      <c r="J8" s="51" t="str">
        <f t="shared" si="1"/>
        <v/>
      </c>
    </row>
    <row r="9" spans="1:10" x14ac:dyDescent="0.45">
      <c r="A9" t="s">
        <v>98</v>
      </c>
      <c r="B9">
        <v>75</v>
      </c>
      <c r="C9" s="50">
        <f>'MODELO 150D'!B78</f>
        <v>46359</v>
      </c>
      <c r="D9" s="43">
        <f>'MODELO 150D'!D78</f>
        <v>82.099999999999895</v>
      </c>
      <c r="E9" s="52"/>
      <c r="F9" s="43" t="str">
        <f>IF(E9="","",E9-'VARIABLES MODELO'!$B$6)</f>
        <v/>
      </c>
      <c r="G9" s="43">
        <f>SUM('MODELO 150D'!$I$4:'MODELO 150D'!I78)</f>
        <v>149.27359999999985</v>
      </c>
      <c r="H9" s="43" t="str">
        <f t="shared" si="0"/>
        <v/>
      </c>
      <c r="I9" s="51">
        <f>'MODELO 150D'!L78</f>
        <v>84010.048645999952</v>
      </c>
      <c r="J9" s="51" t="str">
        <f t="shared" si="1"/>
        <v/>
      </c>
    </row>
    <row r="10" spans="1:10" x14ac:dyDescent="0.45">
      <c r="A10" t="s">
        <v>99</v>
      </c>
      <c r="B10">
        <v>90</v>
      </c>
      <c r="C10" s="50">
        <f>'MODELO 150D'!B93</f>
        <v>46374</v>
      </c>
      <c r="D10" s="43">
        <f>'MODELO 150D'!D93</f>
        <v>91.249999999999844</v>
      </c>
      <c r="E10" s="52"/>
      <c r="F10" s="43" t="str">
        <f>IF(E10="","",E10-'VARIABLES MODELO'!$B$6)</f>
        <v/>
      </c>
      <c r="G10" s="43">
        <f>SUM('MODELO 150D'!$I$4:'MODELO 150D'!I93)</f>
        <v>186.6189999999998</v>
      </c>
      <c r="H10" s="43" t="str">
        <f t="shared" si="0"/>
        <v/>
      </c>
      <c r="I10" s="51">
        <f>'MODELO 150D'!L93</f>
        <v>103032.3015899999</v>
      </c>
      <c r="J10" s="51" t="str">
        <f t="shared" si="1"/>
        <v/>
      </c>
    </row>
    <row r="11" spans="1:10" x14ac:dyDescent="0.45">
      <c r="A11" t="s">
        <v>100</v>
      </c>
      <c r="B11">
        <v>105</v>
      </c>
      <c r="C11" s="50">
        <f>'MODELO 150D'!B108</f>
        <v>46389</v>
      </c>
      <c r="D11" s="43">
        <f>'MODELO 150D'!D108</f>
        <v>100.99999999999993</v>
      </c>
      <c r="E11" s="52"/>
      <c r="F11" s="43" t="str">
        <f>IF(E11="","",E11-'VARIABLES MODELO'!$B$6)</f>
        <v/>
      </c>
      <c r="G11" s="43">
        <f>SUM('MODELO 150D'!$I$4:'MODELO 150D'!I108)</f>
        <v>227.12799999999976</v>
      </c>
      <c r="H11" s="43" t="str">
        <f t="shared" si="0"/>
        <v/>
      </c>
      <c r="I11" s="51">
        <f>'MODELO 150D'!L108</f>
        <v>123665.96582999987</v>
      </c>
      <c r="J11" s="51" t="str">
        <f t="shared" si="1"/>
        <v/>
      </c>
    </row>
    <row r="12" spans="1:10" x14ac:dyDescent="0.45">
      <c r="A12" t="s">
        <v>101</v>
      </c>
      <c r="B12">
        <v>120</v>
      </c>
      <c r="C12" s="50">
        <f>'MODELO 150D'!B123</f>
        <v>46404</v>
      </c>
      <c r="D12" s="43">
        <f>'MODELO 150D'!D123</f>
        <v>111.14999999999999</v>
      </c>
      <c r="E12" s="52"/>
      <c r="F12" s="43" t="str">
        <f>IF(E12="","",E12-'VARIABLES MODELO'!$B$6)</f>
        <v/>
      </c>
      <c r="G12" s="43">
        <f>SUM('MODELO 150D'!$I$4:'MODELO 150D'!I123)</f>
        <v>271.78239999999971</v>
      </c>
      <c r="H12" s="43" t="str">
        <f t="shared" si="0"/>
        <v/>
      </c>
      <c r="I12" s="51">
        <f>'MODELO 150D'!L123</f>
        <v>146411.1310139999</v>
      </c>
      <c r="J12" s="51" t="str">
        <f t="shared" si="1"/>
        <v/>
      </c>
    </row>
    <row r="13" spans="1:10" x14ac:dyDescent="0.45">
      <c r="A13" t="s">
        <v>102</v>
      </c>
      <c r="B13">
        <v>135</v>
      </c>
      <c r="C13" s="50">
        <f>'MODELO 150D'!B138</f>
        <v>46419</v>
      </c>
      <c r="D13" s="43">
        <f>'MODELO 150D'!D138</f>
        <v>121.65000000000003</v>
      </c>
      <c r="E13" s="52"/>
      <c r="F13" s="43" t="str">
        <f>IF(E13="","",E13-'VARIABLES MODELO'!$B$6)</f>
        <v/>
      </c>
      <c r="G13" s="43">
        <f>SUM('MODELO 150D'!$I$4:'MODELO 150D'!I138)</f>
        <v>315.56364999999971</v>
      </c>
      <c r="H13" s="43" t="str">
        <f t="shared" si="0"/>
        <v/>
      </c>
      <c r="I13" s="51">
        <f>'MODELO 150D'!L138</f>
        <v>168711.54851399994</v>
      </c>
      <c r="J13" s="51" t="str">
        <f t="shared" si="1"/>
        <v/>
      </c>
    </row>
    <row r="14" spans="1:10" x14ac:dyDescent="0.45">
      <c r="A14" s="87" t="s">
        <v>153</v>
      </c>
      <c r="B14">
        <v>150</v>
      </c>
      <c r="C14" s="50">
        <f>'MODELO 150D'!B153</f>
        <v>46434</v>
      </c>
      <c r="D14" s="43">
        <f>'MODELO 150D'!D153</f>
        <v>132.15</v>
      </c>
      <c r="E14" s="52"/>
      <c r="F14" s="43" t="str">
        <f>IF(E14="","",E14-'VARIABLES MODELO'!$B$6)</f>
        <v/>
      </c>
      <c r="G14" s="43">
        <f>SUM('MODELO 150D'!$I$4:'MODELO 150D'!I153)</f>
        <v>363.28239999999971</v>
      </c>
      <c r="H14" s="43" t="str">
        <f t="shared" si="0"/>
        <v/>
      </c>
      <c r="I14" s="51">
        <f>'MODELO 150D'!L153</f>
        <v>193017.57101399993</v>
      </c>
      <c r="J14" s="51" t="str">
        <f t="shared" si="1"/>
        <v/>
      </c>
    </row>
  </sheetData>
  <mergeCells count="1">
    <mergeCell ref="A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9"/>
  <sheetViews>
    <sheetView tabSelected="1" workbookViewId="0">
      <selection activeCell="C13" sqref="C13"/>
    </sheetView>
  </sheetViews>
  <sheetFormatPr baseColWidth="10" defaultColWidth="9.06640625" defaultRowHeight="14.25" x14ac:dyDescent="0.45"/>
  <cols>
    <col min="1" max="1" width="34" customWidth="1"/>
    <col min="2" max="2" width="18" customWidth="1"/>
    <col min="4" max="8" width="18" customWidth="1"/>
  </cols>
  <sheetData>
    <row r="1" spans="1:8" x14ac:dyDescent="0.45">
      <c r="A1" s="72" t="s">
        <v>103</v>
      </c>
      <c r="B1" s="72"/>
      <c r="C1" s="72"/>
      <c r="D1" s="72"/>
      <c r="E1" s="72"/>
      <c r="F1" s="72"/>
      <c r="G1" s="72"/>
      <c r="H1" s="72"/>
    </row>
    <row r="3" spans="1:8" x14ac:dyDescent="0.45">
      <c r="A3" s="46" t="s">
        <v>104</v>
      </c>
      <c r="B3" s="46" t="s">
        <v>51</v>
      </c>
      <c r="D3" s="46" t="s">
        <v>105</v>
      </c>
      <c r="E3" s="46" t="s">
        <v>106</v>
      </c>
      <c r="F3" s="46" t="s">
        <v>107</v>
      </c>
      <c r="G3" s="46" t="s">
        <v>108</v>
      </c>
      <c r="H3" s="46" t="s">
        <v>92</v>
      </c>
    </row>
    <row r="4" spans="1:8" x14ac:dyDescent="0.45">
      <c r="A4" s="53" t="s">
        <v>109</v>
      </c>
      <c r="B4" s="54">
        <f>+'VARIABLES MODELO'!B5</f>
        <v>33</v>
      </c>
      <c r="D4" t="s">
        <v>110</v>
      </c>
      <c r="E4" s="43">
        <f>RESUMEN!G6</f>
        <v>376.18249999999978</v>
      </c>
      <c r="F4" s="43">
        <f>RESUMEN!G6/76.95</f>
        <v>4.8886614684860268</v>
      </c>
      <c r="G4" s="51">
        <f>HIPER!E27+PRECOZ!E148</f>
        <v>198262.13444999987</v>
      </c>
      <c r="H4" s="51">
        <f>(HIPER!E27+PRECOZ!E148)/76.95</f>
        <v>2576.5059707602322</v>
      </c>
    </row>
    <row r="5" spans="1:8" x14ac:dyDescent="0.45">
      <c r="A5" s="53" t="s">
        <v>111</v>
      </c>
      <c r="B5" s="55">
        <f>'VARIABLES MODELO'!B6</f>
        <v>55</v>
      </c>
      <c r="D5" t="s">
        <v>112</v>
      </c>
      <c r="E5" s="43">
        <f>B10</f>
        <v>363.28239999999983</v>
      </c>
      <c r="F5" s="43">
        <f>B11</f>
        <v>4.7087802981205416</v>
      </c>
      <c r="G5" s="51">
        <f>B14</f>
        <v>193017.5710139999</v>
      </c>
      <c r="H5" s="51">
        <f>B15</f>
        <v>2501.8479716655852</v>
      </c>
    </row>
    <row r="6" spans="1:8" x14ac:dyDescent="0.45">
      <c r="A6" s="53" t="s">
        <v>113</v>
      </c>
      <c r="B6" s="55">
        <f>IF('CONTROL QUINCENAL'!E14="",'CONTROL QUINCENAL'!D14,'CONTROL QUINCENAL'!E14)</f>
        <v>132.15</v>
      </c>
    </row>
    <row r="7" spans="1:8" x14ac:dyDescent="0.45">
      <c r="A7" s="53" t="s">
        <v>114</v>
      </c>
      <c r="B7" s="55">
        <f>B6-B5</f>
        <v>77.150000000000006</v>
      </c>
    </row>
    <row r="8" spans="1:8" x14ac:dyDescent="0.45">
      <c r="A8" s="53" t="s">
        <v>115</v>
      </c>
      <c r="B8" s="55">
        <f>SUM('MODELO 150D'!I4:I18)</f>
        <v>24.579499999999996</v>
      </c>
      <c r="D8" s="96" t="s">
        <v>154</v>
      </c>
      <c r="E8" s="73"/>
      <c r="F8" s="73"/>
      <c r="G8" s="73"/>
      <c r="H8" s="73"/>
    </row>
    <row r="9" spans="1:8" x14ac:dyDescent="0.45">
      <c r="A9" s="53" t="s">
        <v>116</v>
      </c>
      <c r="B9" s="55">
        <f>SUM('MODELO 150D'!I19:I153)</f>
        <v>338.70289999999983</v>
      </c>
      <c r="D9" s="73"/>
      <c r="E9" s="73"/>
      <c r="F9" s="73"/>
      <c r="G9" s="73"/>
      <c r="H9" s="73"/>
    </row>
    <row r="10" spans="1:8" x14ac:dyDescent="0.45">
      <c r="A10" s="53" t="s">
        <v>117</v>
      </c>
      <c r="B10" s="55">
        <f>B8+B9</f>
        <v>363.28239999999983</v>
      </c>
      <c r="D10" s="73"/>
      <c r="E10" s="73"/>
      <c r="F10" s="73"/>
      <c r="G10" s="73"/>
      <c r="H10" s="73"/>
    </row>
    <row r="11" spans="1:8" x14ac:dyDescent="0.45">
      <c r="A11" s="53" t="s">
        <v>140</v>
      </c>
      <c r="B11" s="55">
        <f>B10/B7</f>
        <v>4.7087802981205416</v>
      </c>
      <c r="D11" s="73"/>
      <c r="E11" s="73"/>
      <c r="F11" s="73"/>
      <c r="G11" s="73"/>
      <c r="H11" s="73"/>
    </row>
    <row r="12" spans="1:8" x14ac:dyDescent="0.45">
      <c r="A12" s="53" t="s">
        <v>118</v>
      </c>
      <c r="B12" s="56">
        <f>SUM('MODELO 150D'!K4:K18)</f>
        <v>20495.861870000001</v>
      </c>
      <c r="D12" s="73"/>
      <c r="E12" s="73"/>
      <c r="F12" s="73"/>
      <c r="G12" s="73"/>
      <c r="H12" s="73"/>
    </row>
    <row r="13" spans="1:8" x14ac:dyDescent="0.45">
      <c r="A13" s="53" t="s">
        <v>119</v>
      </c>
      <c r="B13" s="56">
        <f>SUM('MODELO 150D'!K19:K153)</f>
        <v>172521.70914399991</v>
      </c>
    </row>
    <row r="14" spans="1:8" x14ac:dyDescent="0.45">
      <c r="A14" s="53" t="s">
        <v>120</v>
      </c>
      <c r="B14" s="56">
        <f>B12+B13</f>
        <v>193017.5710139999</v>
      </c>
    </row>
    <row r="15" spans="1:8" x14ac:dyDescent="0.45">
      <c r="A15" s="53" t="s">
        <v>121</v>
      </c>
      <c r="B15" s="56">
        <f>B14/B7</f>
        <v>2501.8479716655852</v>
      </c>
    </row>
    <row r="16" spans="1:8" x14ac:dyDescent="0.45">
      <c r="A16" s="86" t="s">
        <v>148</v>
      </c>
      <c r="B16" s="56">
        <f>B14*B4</f>
        <v>6369579.8434619969</v>
      </c>
    </row>
    <row r="17" spans="1:2" x14ac:dyDescent="0.45">
      <c r="A17" s="86"/>
      <c r="B17" s="88"/>
    </row>
    <row r="18" spans="1:2" x14ac:dyDescent="0.45">
      <c r="A18" s="86" t="s">
        <v>142</v>
      </c>
      <c r="B18" s="55">
        <f>MROUND(B8*B4/'VARIABLES MODELO'!B11,1)</f>
        <v>32</v>
      </c>
    </row>
    <row r="19" spans="1:2" x14ac:dyDescent="0.45">
      <c r="A19" s="86" t="s">
        <v>143</v>
      </c>
      <c r="B19" s="55">
        <f>MROUND(B8*B4/1000,1)</f>
        <v>1</v>
      </c>
    </row>
    <row r="20" spans="1:2" x14ac:dyDescent="0.45">
      <c r="A20" s="86" t="s">
        <v>144</v>
      </c>
      <c r="B20" s="55">
        <f>MROUND(B9*B4/'VARIABLES MODELO'!B12,1)</f>
        <v>373</v>
      </c>
    </row>
    <row r="21" spans="1:2" x14ac:dyDescent="0.45">
      <c r="A21" s="86" t="s">
        <v>145</v>
      </c>
      <c r="B21" s="55">
        <f>MROUND(B9*B4/1000,1)</f>
        <v>11</v>
      </c>
    </row>
    <row r="22" spans="1:2" x14ac:dyDescent="0.45">
      <c r="A22" s="86" t="s">
        <v>146</v>
      </c>
      <c r="B22" s="56">
        <f>B7*'VARIABLES MODELO'!B19</f>
        <v>540050</v>
      </c>
    </row>
    <row r="23" spans="1:2" x14ac:dyDescent="0.45">
      <c r="A23" s="86" t="s">
        <v>147</v>
      </c>
      <c r="B23" s="56">
        <f>B22-B14</f>
        <v>347032.42898600013</v>
      </c>
    </row>
    <row r="25" spans="1:2" x14ac:dyDescent="0.45">
      <c r="A25" s="86" t="s">
        <v>149</v>
      </c>
      <c r="B25" s="56">
        <f>+B19*'VARIABLES MODELO'!B7+'RESUMEN MEJORADO'!B21*'VARIABLES MODELO'!B9</f>
        <v>6436820</v>
      </c>
    </row>
    <row r="26" spans="1:2" x14ac:dyDescent="0.45">
      <c r="A26" s="89" t="s">
        <v>150</v>
      </c>
      <c r="B26" s="90">
        <f>+B4*B7*'VARIABLES MODELO'!B19</f>
        <v>17821650.000000004</v>
      </c>
    </row>
    <row r="28" spans="1:2" x14ac:dyDescent="0.45">
      <c r="A28" s="91" t="s">
        <v>151</v>
      </c>
      <c r="B28" s="93">
        <f>+B26-B25</f>
        <v>11384830.000000004</v>
      </c>
    </row>
    <row r="29" spans="1:2" x14ac:dyDescent="0.45">
      <c r="A29" s="91" t="s">
        <v>152</v>
      </c>
      <c r="B29" s="92">
        <f>+B28/B25</f>
        <v>1.7687041116576203</v>
      </c>
    </row>
  </sheetData>
  <mergeCells count="2">
    <mergeCell ref="A1:H1"/>
    <mergeCell ref="D8:H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HIPER</vt:lpstr>
      <vt:lpstr>PRECOZ</vt:lpstr>
      <vt:lpstr>RESUMEN</vt:lpstr>
      <vt:lpstr>SEGUIMIENTO</vt:lpstr>
      <vt:lpstr>VARIABLES MODELO</vt:lpstr>
      <vt:lpstr>MODELO 150D</vt:lpstr>
      <vt:lpstr>CONTROL QUINCENAL</vt:lpstr>
      <vt:lpstr>RESUMEN MEJORADO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Trabajo</cp:lastModifiedBy>
  <dcterms:modified xsi:type="dcterms:W3CDTF">2026-09-02T04:04:51Z</dcterms:modified>
</cp:coreProperties>
</file>