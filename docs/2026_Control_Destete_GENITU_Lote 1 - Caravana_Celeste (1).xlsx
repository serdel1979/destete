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7"/>
  </bookViews>
  <sheets>
    <sheet name="HIPER" sheetId="1" state="hidden" r:id="rId2"/>
    <sheet name="PRECOZ" sheetId="2" state="hidden" r:id="rId3"/>
    <sheet name="RESUMEN" sheetId="3" state="hidden" r:id="rId4"/>
    <sheet name="SEGUIMIENTO" sheetId="4" state="hidden" r:id="rId5"/>
    <sheet name="VARIABLES MODELO" sheetId="5" state="visible" r:id="rId6"/>
    <sheet name="MODELO 150D" sheetId="6" state="visible" r:id="rId7"/>
    <sheet name="CONTROL QUINCENAL" sheetId="7" state="visible" r:id="rId8"/>
    <sheet name="RESUMEN MEJORADO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<sst xmlns="http://schemas.openxmlformats.org/spreadsheetml/2006/main" count="193" uniqueCount="154">
  <si>
    <t xml:space="preserve">ALIMENTACION  - HIPER PRECOZ / GRANAZZO</t>
  </si>
  <si>
    <t xml:space="preserve">DIA</t>
  </si>
  <si>
    <t xml:space="preserve">PESO ANIMAL</t>
  </si>
  <si>
    <t xml:space="preserve">AUMENTO PESO PROMEDIO</t>
  </si>
  <si>
    <t xml:space="preserve">RACION (%) - (PESO)</t>
  </si>
  <si>
    <t xml:space="preserve">CANT ALIMENTO
 (KG)</t>
  </si>
  <si>
    <t xml:space="preserve">SUBTOTOTAL X TERNERO</t>
  </si>
  <si>
    <t xml:space="preserve">PROMEDIO DIARIO</t>
  </si>
  <si>
    <t xml:space="preserve">Costo del Alimento (kg)</t>
  </si>
  <si>
    <t xml:space="preserve">Costo del procedo de engorde</t>
  </si>
  <si>
    <t xml:space="preserve">Aumento de Kg</t>
  </si>
  <si>
    <t xml:space="preserve">Precio del Kg de Ternero</t>
  </si>
  <si>
    <t xml:space="preserve">Ganancia por Aumento de Kg</t>
  </si>
  <si>
    <t xml:space="preserve">ALIMENTACION  - PRECOZ</t>
  </si>
  <si>
    <t xml:space="preserve">AUMENTO PESO DIARIO </t>
  </si>
  <si>
    <t xml:space="preserve">RACION</t>
  </si>
  <si>
    <t xml:space="preserve">CANT ALIMENTO</t>
  </si>
  <si>
    <t xml:space="preserve">SUBTOTAL X TERNERO (KG)</t>
  </si>
  <si>
    <t xml:space="preserve">PROMEDIO</t>
  </si>
  <si>
    <t xml:space="preserve">Destete Hiperprecoz 23 % - Tonelada</t>
  </si>
  <si>
    <t xml:space="preserve">Destete Precoz 19 % - Tonelada</t>
  </si>
  <si>
    <t xml:space="preserve">Vacuno Recria 16 % - Tonelada</t>
  </si>
  <si>
    <t xml:space="preserve">Suplemento mineral Rodeo General - Tonelada</t>
  </si>
  <si>
    <t xml:space="preserve">Resultado del Proceso</t>
  </si>
  <si>
    <t xml:space="preserve">ALLIMENTACION - GRANAZZO</t>
  </si>
  <si>
    <t xml:space="preserve">ALIMENTO</t>
  </si>
  <si>
    <t xml:space="preserve">COSTO</t>
  </si>
  <si>
    <t xml:space="preserve">HIPER </t>
  </si>
  <si>
    <t xml:space="preserve">PRECOZ (KG)</t>
  </si>
  <si>
    <t xml:space="preserve">SUBTOTAL</t>
  </si>
  <si>
    <t xml:space="preserve">SAL (KG)</t>
  </si>
  <si>
    <t xml:space="preserve">TERNEROS</t>
  </si>
  <si>
    <t xml:space="preserve">KG</t>
  </si>
  <si>
    <t xml:space="preserve">BOLSAS (25 KG)</t>
  </si>
  <si>
    <t xml:space="preserve">BOLSAS (30 KG)</t>
  </si>
  <si>
    <t xml:space="preserve">TN</t>
  </si>
  <si>
    <t xml:space="preserve">ALIMENTACION - SEGUIMIENTO / GRANAZZO</t>
  </si>
  <si>
    <t xml:space="preserve">LOTE 1 - 33 TERNEROS</t>
  </si>
  <si>
    <t xml:space="preserve">HIPER</t>
  </si>
  <si>
    <t xml:space="preserve">PRECOZ</t>
  </si>
  <si>
    <t xml:space="preserve">PESO ANIMAL
(KG)</t>
  </si>
  <si>
    <t xml:space="preserve">TERNEROS
CANTIDAD</t>
  </si>
  <si>
    <t xml:space="preserve">CANT ALIMENTO DIARIO
 ACUMULADO</t>
  </si>
  <si>
    <t xml:space="preserve">CANT BOLSAS
DIARIAS</t>
  </si>
  <si>
    <t xml:space="preserve">CANT ALIMENTO DIARIO
 (KG)</t>
  </si>
  <si>
    <t xml:space="preserve">CANT ALIMENTO
 ACUMULADO</t>
  </si>
  <si>
    <t xml:space="preserve">RESUMEN - SEGUIMIENTO</t>
  </si>
  <si>
    <t xml:space="preserve">BOLSAS</t>
  </si>
  <si>
    <t xml:space="preserve">COSTO TN (+ IVA)</t>
  </si>
  <si>
    <t xml:space="preserve">VARIABLES GLOBALES - DESTETE CARAVANA CELESTE</t>
  </si>
  <si>
    <t xml:space="preserve">Variable</t>
  </si>
  <si>
    <t xml:space="preserve">Valor</t>
  </si>
  <si>
    <t xml:space="preserve">Unidad</t>
  </si>
  <si>
    <t xml:space="preserve">Observación</t>
  </si>
  <si>
    <t xml:space="preserve">Fecha inicio destete</t>
  </si>
  <si>
    <t xml:space="preserve">fecha</t>
  </si>
  <si>
    <t xml:space="preserve">Primer lote - caravana Celeste</t>
  </si>
  <si>
    <t xml:space="preserve">Cantidad de terneros</t>
  </si>
  <si>
    <t xml:space="preserve">cabezas</t>
  </si>
  <si>
    <t xml:space="preserve">Caravanas Celestes</t>
  </si>
  <si>
    <t xml:space="preserve">Peso inicial</t>
  </si>
  <si>
    <t xml:space="preserve">kg/cab</t>
  </si>
  <si>
    <t xml:space="preserve">Promedio del pesaje</t>
  </si>
  <si>
    <t xml:space="preserve">Precio Hiper-Precoz 23% p/Tn</t>
  </si>
  <si>
    <t xml:space="preserve">$/ton</t>
  </si>
  <si>
    <t xml:space="preserve">Según Cotización XXXXXX - Fecha xx/xx/xx</t>
  </si>
  <si>
    <t xml:space="preserve">Precio Hiper-Precoz 23% p/kg</t>
  </si>
  <si>
    <t xml:space="preserve">$/kg</t>
  </si>
  <si>
    <t xml:space="preserve">Precio Precoz 19% p/Tn</t>
  </si>
  <si>
    <t xml:space="preserve">Precio Precoz 19% p/kg</t>
  </si>
  <si>
    <t xml:space="preserve">Peso de la Bolsa Hiper-Precoz</t>
  </si>
  <si>
    <t xml:space="preserve">kg/bolsa</t>
  </si>
  <si>
    <t xml:space="preserve">Según Proveedor</t>
  </si>
  <si>
    <t xml:space="preserve">Peso de la Bolsa Precoz</t>
  </si>
  <si>
    <t xml:space="preserve">Consumo % PV días 1-5</t>
  </si>
  <si>
    <t xml:space="preserve">% PV</t>
  </si>
  <si>
    <t xml:space="preserve">Consumo % PV días 6-15</t>
  </si>
  <si>
    <t xml:space="preserve">Consumo % PV días 16-50</t>
  </si>
  <si>
    <t xml:space="preserve">Consumo % PV días 51-80</t>
  </si>
  <si>
    <t xml:space="preserve">Consumo % PV días 81-120</t>
  </si>
  <si>
    <t xml:space="preserve">Consumo % PV días 120-150</t>
  </si>
  <si>
    <t xml:space="preserve">Precio kg ternero</t>
  </si>
  <si>
    <t xml:space="preserve">$/kg PV</t>
  </si>
  <si>
    <t xml:space="preserve">Estimado a la fecha de venta</t>
  </si>
  <si>
    <t xml:space="preserve">Costo alfalfa por kg</t>
  </si>
  <si>
    <t xml:space="preserve">Consumo alfalfa kg/cab/día</t>
  </si>
  <si>
    <t xml:space="preserve">kg/cab/día</t>
  </si>
  <si>
    <t xml:space="preserve">MODELO DINÁMICO 150 DÍAS - LOTE CELESTE</t>
  </si>
  <si>
    <t xml:space="preserve">Día</t>
  </si>
  <si>
    <t xml:space="preserve">Fecha</t>
  </si>
  <si>
    <t xml:space="preserve">Fase</t>
  </si>
  <si>
    <t xml:space="preserve">Peso teórico kg</t>
  </si>
  <si>
    <t xml:space="preserve">ADPV kg/d</t>
  </si>
  <si>
    <t xml:space="preserve">Consumo % PV</t>
  </si>
  <si>
    <t xml:space="preserve">Ración teórica kg/cab</t>
  </si>
  <si>
    <t xml:space="preserve">Consumo real kg/cab</t>
  </si>
  <si>
    <t xml:space="preserve">Consumo usado kg/cab</t>
  </si>
  <si>
    <t xml:space="preserve">Costo $/kg</t>
  </si>
  <si>
    <t xml:space="preserve">Costo diario $/cab</t>
  </si>
  <si>
    <t xml:space="preserve">Costo acum. $/cab</t>
  </si>
  <si>
    <t xml:space="preserve">Alimento lote kg</t>
  </si>
  <si>
    <t xml:space="preserve">Bolsas Diarias</t>
  </si>
  <si>
    <t xml:space="preserve">Bolsas acum.</t>
  </si>
  <si>
    <t xml:space="preserve">CONTROL QUINCENAL - PESAJE, CONSUMO Y CONVERSIÓN</t>
  </si>
  <si>
    <t xml:space="preserve">Control</t>
  </si>
  <si>
    <t xml:space="preserve">Peso teórico</t>
  </si>
  <si>
    <t xml:space="preserve">Peso real</t>
  </si>
  <si>
    <t xml:space="preserve">Kg ganados reales</t>
  </si>
  <si>
    <t xml:space="preserve">Consumo acum. real/teórico</t>
  </si>
  <si>
    <t xml:space="preserve">Índice de Conversión Alimenticia
(ICA) Real</t>
  </si>
  <si>
    <t xml:space="preserve">Costo acum.</t>
  </si>
  <si>
    <t xml:space="preserve">Costo/kg ganado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</si>
  <si>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</si>
  <si>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</si>
  <si>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</si>
  <si>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</si>
  <si>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</si>
  <si>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</si>
  <si>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</si>
  <si>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</si>
  <si>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</si>
  <si>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</si>
  <si>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</si>
  <si>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RESUMEN ECONÓMICO Y DE CONVERSIÓN - 150 DÍAS</t>
  </si>
  <si>
    <t xml:space="preserve">Indicador</t>
  </si>
  <si>
    <t xml:space="preserve">Escenario</t>
  </si>
  <si>
    <t xml:space="preserve">Consumo/cab kg</t>
  </si>
  <si>
    <t xml:space="preserve">ICA</t>
  </si>
  <si>
    <t xml:space="preserve">Costo/cab</t>
  </si>
  <si>
    <t xml:space="preserve">Cantidad terneros</t>
  </si>
  <si>
    <t xml:space="preserve">Planilla original</t>
  </si>
  <si>
    <t xml:space="preserve">Peso inicial kg/cab</t>
  </si>
  <si>
    <t xml:space="preserve">Modelo dinámico</t>
  </si>
  <si>
    <t xml:space="preserve">Peso final teórico kg/cab</t>
  </si>
  <si>
    <t xml:space="preserve">Kg ganados/cab</t>
  </si>
  <si>
    <t xml:space="preserve">Consumo Hiper-Precoz kg/cab</t>
  </si>
  <si>
    <t xml:space="preserve">Nota: el modelo dinámico conserva la curva de peso de la planilla original (55 kg a 132 kg), pero cambia el % de consumo a 2% / 3,5% / 3,2% / 3% / 2,8% / 2,5% del PV. La columna 'Consumo real' del MODELO 150D permite reemplazar el teórico día a día. Alfalfa no se incluye en el costo mientras su precio y consumo permanezcan en 0.</t>
  </si>
  <si>
    <t xml:space="preserve">Consumo Precoz kg/cab</t>
  </si>
  <si>
    <t xml:space="preserve">Consumo total kg/cab</t>
  </si>
  <si>
    <t xml:space="preserve">ICA (kg alimento/kg ganado)</t>
  </si>
  <si>
    <t xml:space="preserve">Costo Hiper-Precoz $/cab</t>
  </si>
  <si>
    <t xml:space="preserve">Costo Precoz $/cab</t>
  </si>
  <si>
    <t xml:space="preserve">Costo total alimento $/cab</t>
  </si>
  <si>
    <t xml:space="preserve">Costo alimento $/kg ganado</t>
  </si>
  <si>
    <t xml:space="preserve">Costo total lote ($) - Estimado</t>
  </si>
  <si>
    <t xml:space="preserve">Cantidad de Bolsas Hiper-Precoz (Un)</t>
  </si>
  <si>
    <t xml:space="preserve">Cantidad de Tn Hiper-Precoz (Tn)</t>
  </si>
  <si>
    <t xml:space="preserve">Cantidad de Bolsas Precoz (Un)</t>
  </si>
  <si>
    <t xml:space="preserve">Cantidad de Tn Precoz (Tn)</t>
  </si>
  <si>
    <t xml:space="preserve">Valor teórico kg ganados/cab ($)</t>
  </si>
  <si>
    <t xml:space="preserve">Margen alimento vs kg ganados/cab ($)</t>
  </si>
  <si>
    <t xml:space="preserve">Costo del Aimento - Real</t>
  </si>
  <si>
    <t xml:space="preserve">Valor Total kg ganados/cab ($)</t>
  </si>
  <si>
    <t xml:space="preserve">Resultado de la Operación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</si>
</sst>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\$* #,##0.00_-;&quot;-$&quot;* #,##0.00_-;_-\$* \-??_-;_-@_-"/>
    <numFmt numFmtId="166" formatCode="0.00"/>
    <numFmt numFmtId="167" formatCode="0.000"/>
    <numFmt numFmtId="168" formatCode="0.00%"/>
    <numFmt numFmtId="169" formatCode="General"/>
    <numFmt numFmtId="170" formatCode="0"/>
    <numFmt numFmtId="171" formatCode="m/d/yyyy"/>
    <numFmt numFmtId="172" formatCode="\$#,##0.00"/>
    <numFmt numFmtId="173" formatCode="dd/mm/yyyy"/>
    <numFmt numFmtId="174" formatCode="#,##0.00"/>
    <numFmt numFmtId="175" formatCode="0%"/>
    <numFmt numFmtId="176" formatCode="0.0%"/>
    <numFmt numFmtId="177" formatCode="&quot;$ &quot;#,##0.00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1"/>
      <color rgb="FFD9D9D9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CCCCCC"/>
      </patternFill>
    </fill>
    <fill>
      <patternFill patternType="solid">
        <fgColor rgb="FF92D050"/>
        <bgColor rgb="FFBFBFBF"/>
      </patternFill>
    </fill>
    <fill>
      <patternFill patternType="solid">
        <fgColor rgb="FFBFBFBF"/>
        <bgColor rgb="FFCCCCCC"/>
      </patternFill>
    </fill>
    <fill>
      <patternFill patternType="solid">
        <fgColor rgb="FFF2F2F2"/>
        <bgColor rgb="FFE2F0D9"/>
      </patternFill>
    </fill>
    <fill>
      <patternFill patternType="solid">
        <fgColor rgb="FF1F4E78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B7DEE8"/>
        <bgColor rgb="FFD9D9D9"/>
      </patternFill>
    </fill>
    <fill>
      <patternFill patternType="solid">
        <fgColor rgb="FFE2F0D9"/>
        <bgColor rgb="FFF2F2F2"/>
      </patternFill>
    </fill>
    <fill>
      <patternFill patternType="solid">
        <fgColor rgb="FFFCD5B5"/>
        <bgColor rgb="FFF4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7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1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1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13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" xfId="20"/>
  </cellStyles>
  <dxfs count="1">
    <dxf>
      <font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FF99"/>
      <rgbColor rgb="FFB7DEE8"/>
      <rgbColor rgb="FFF4CCCC"/>
      <rgbColor rgb="FFCC99FF"/>
      <rgbColor rgb="FFFCD5B5"/>
      <rgbColor rgb="FF3366FF"/>
      <rgbColor rgb="FF33CCCC"/>
      <rgbColor rgb="FF92D050"/>
      <rgbColor rgb="FFFFCC00"/>
      <rgbColor rgb="FFFF9900"/>
      <rgbColor rgb="FFFF6600"/>
      <rgbColor rgb="FF4A7EBB"/>
      <rgbColor rgb="FF969696"/>
      <rgbColor rgb="FF002060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AR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s-AR" sz="1800" spc="-1" strike="noStrike">
                <a:solidFill>
                  <a:srgbClr val="000000"/>
                </a:solidFill>
                <a:latin typeface="Calibri"/>
                <a:ea typeface="Calibri"/>
              </a:rPr>
              <a:t>Evolución teórica de peso - 150 días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"Peso Real"</c:f>
              <c:strCache>
                <c:ptCount val="1"/>
                <c:pt idx="0">
                  <c:v>Peso Real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'CONTROL QUINCENAL'!$C$4:$C$14</c:f>
              <c:numCache>
                <c:formatCode>dd/mm/yyyy</c:formatCode>
                <c:ptCount val="11"/>
                <c:pt idx="0">
                  <c:v>20/09/2026</c:v>
                </c:pt>
                <c:pt idx="1">
                  <c:v>04/10/2026</c:v>
                </c:pt>
                <c:pt idx="2">
                  <c:v>19/10/2026</c:v>
                </c:pt>
                <c:pt idx="3">
                  <c:v>03/11/2026</c:v>
                </c:pt>
                <c:pt idx="4">
                  <c:v>18/11/2026</c:v>
                </c:pt>
                <c:pt idx="5">
                  <c:v>03/12/2026</c:v>
                </c:pt>
                <c:pt idx="6">
                  <c:v>18/12/2026</c:v>
                </c:pt>
                <c:pt idx="7">
                  <c:v>02/01/2027</c:v>
                </c:pt>
                <c:pt idx="8">
                  <c:v>17/01/2027</c:v>
                </c:pt>
                <c:pt idx="9">
                  <c:v>01/02/2027</c:v>
                </c:pt>
                <c:pt idx="10">
                  <c:v>16/02/2027</c:v>
                </c:pt>
              </c:numCache>
            </c:numRef>
          </c:cat>
          <c:val>
            <c:numRef>
              <c:f>'CONTROL QUINCENAL'!$E$4:$E$14</c:f>
              <c:numCache>
                <c:formatCode>General</c:formatCode>
                <c:ptCount val="11"/>
              </c:numCache>
            </c:numRef>
          </c:val>
          <c:smooth val="1"/>
        </c:ser>
        <c:ser>
          <c:idx val="1"/>
          <c:order val="1"/>
          <c:tx>
            <c:strRef>
              <c:f>"Peso teórico kg"</c:f>
              <c:strCache>
                <c:ptCount val="1"/>
                <c:pt idx="0">
                  <c:v>Peso teórico kg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'CONTROL QUINCENAL'!$C$4:$C$14</c:f>
              <c:numCache>
                <c:formatCode>dd/mm/yyyy</c:formatCode>
                <c:ptCount val="11"/>
                <c:pt idx="0">
                  <c:v>20/09/2026</c:v>
                </c:pt>
                <c:pt idx="1">
                  <c:v>04/10/2026</c:v>
                </c:pt>
                <c:pt idx="2">
                  <c:v>19/10/2026</c:v>
                </c:pt>
                <c:pt idx="3">
                  <c:v>03/11/2026</c:v>
                </c:pt>
                <c:pt idx="4">
                  <c:v>18/11/2026</c:v>
                </c:pt>
                <c:pt idx="5">
                  <c:v>03/12/2026</c:v>
                </c:pt>
                <c:pt idx="6">
                  <c:v>18/12/2026</c:v>
                </c:pt>
                <c:pt idx="7">
                  <c:v>02/01/2027</c:v>
                </c:pt>
                <c:pt idx="8">
                  <c:v>17/01/2027</c:v>
                </c:pt>
                <c:pt idx="9">
                  <c:v>01/02/2027</c:v>
                </c:pt>
                <c:pt idx="10">
                  <c:v>16/02/2027</c:v>
                </c:pt>
              </c:numCache>
            </c:numRef>
          </c:cat>
          <c:val>
            <c:numRef>
              <c:f>'CONTROL QUINCENAL'!$D$4:$D$14</c:f>
              <c:numCache>
                <c:formatCode>General</c:formatCode>
                <c:ptCount val="11"/>
                <c:pt idx="0">
                  <c:v>55</c:v>
                </c:pt>
                <c:pt idx="1">
                  <c:v>55.05</c:v>
                </c:pt>
                <c:pt idx="2">
                  <c:v>59.65</c:v>
                </c:pt>
                <c:pt idx="3">
                  <c:v>65.85</c:v>
                </c:pt>
                <c:pt idx="4">
                  <c:v>73.1</c:v>
                </c:pt>
                <c:pt idx="5">
                  <c:v>82.0999999999999</c:v>
                </c:pt>
                <c:pt idx="6">
                  <c:v>91.2499999999998</c:v>
                </c:pt>
                <c:pt idx="7">
                  <c:v>101</c:v>
                </c:pt>
                <c:pt idx="8">
                  <c:v>111.15</c:v>
                </c:pt>
                <c:pt idx="9">
                  <c:v>121.65</c:v>
                </c:pt>
                <c:pt idx="10">
                  <c:v>132.15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82677"/>
        <c:axId val="16829819"/>
      </c:lineChart>
      <c:dateAx>
        <c:axId val="7938267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dd/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829819"/>
        <c:crosses val="autoZero"/>
        <c:auto val="1"/>
        <c:lblOffset val="100"/>
        <c:baseTimeUnit val="days"/>
        <c:noMultiLvlLbl val="0"/>
      </c:dateAx>
      <c:valAx>
        <c:axId val="1682981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3826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13</xdr:row>
      <xdr:rowOff>0</xdr:rowOff>
    </xdr:from>
    <xdr:to>
      <xdr:col>10</xdr:col>
      <xdr:colOff>805320</xdr:colOff>
      <xdr:row>31</xdr:row>
      <xdr:rowOff>180720</xdr:rowOff>
    </xdr:to>
    <xdr:graphicFrame>
      <xdr:nvGraphicFramePr>
        <xdr:cNvPr id="0" name="Chart"/>
        <xdr:cNvGraphicFramePr/>
      </xdr:nvGraphicFramePr>
      <xdr:xfrm>
        <a:off x="5429880" y="2352600"/>
        <a:ext cx="10421280" cy="343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.4"/>
    <col collapsed="false" customWidth="true" hidden="false" outlineLevel="0" max="2" min="2" style="2" width="13.13"/>
    <col collapsed="false" customWidth="true" hidden="false" outlineLevel="0" max="3" min="3" style="3" width="22.6"/>
    <col collapsed="false" customWidth="true" hidden="false" outlineLevel="0" max="4" min="4" style="1" width="22.86"/>
    <col collapsed="false" customWidth="true" hidden="false" outlineLevel="0" max="5" min="5" style="3" width="15.6"/>
    <col collapsed="false" customWidth="true" hidden="false" outlineLevel="0" max="6" min="6" style="2" width="19.86"/>
  </cols>
  <sheetData>
    <row r="2" customFormat="false" ht="14.25" hidden="false" customHeight="false" outlineLevel="0" collapsed="false">
      <c r="A2" s="4" t="s">
        <v>0</v>
      </c>
      <c r="B2" s="4"/>
      <c r="C2" s="4"/>
      <c r="D2" s="4"/>
      <c r="E2" s="4"/>
    </row>
    <row r="3" customFormat="false" ht="14.25" hidden="false" customHeight="false" outlineLevel="0" collapsed="false">
      <c r="A3" s="4"/>
      <c r="B3" s="4"/>
      <c r="C3" s="4"/>
      <c r="D3" s="4"/>
      <c r="E3" s="4"/>
    </row>
    <row r="4" customFormat="false" ht="14.25" hidden="false" customHeight="true" outlineLevel="0" collapsed="false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</row>
    <row r="5" customFormat="false" ht="14.25" hidden="false" customHeight="false" outlineLevel="0" collapsed="false">
      <c r="A5" s="5"/>
      <c r="B5" s="5"/>
      <c r="C5" s="6"/>
      <c r="D5" s="5"/>
      <c r="E5" s="5"/>
    </row>
    <row r="6" customFormat="false" ht="14.25" hidden="false" customHeight="false" outlineLevel="0" collapsed="false">
      <c r="A6" s="7" t="n">
        <v>1</v>
      </c>
      <c r="B6" s="8" t="n">
        <v>55</v>
      </c>
      <c r="C6" s="9" t="n">
        <v>-0.1</v>
      </c>
      <c r="D6" s="10" t="n">
        <v>0.025</v>
      </c>
      <c r="E6" s="9" t="n">
        <f aca="false">+B6*D6</f>
        <v>1.375</v>
      </c>
    </row>
    <row r="7" customFormat="false" ht="14.25" hidden="false" customHeight="false" outlineLevel="0" collapsed="false">
      <c r="A7" s="7" t="n">
        <v>2</v>
      </c>
      <c r="B7" s="8" t="n">
        <f aca="false">+B6+C6</f>
        <v>54.9</v>
      </c>
      <c r="C7" s="9" t="n">
        <v>-0.1</v>
      </c>
      <c r="D7" s="10" t="n">
        <v>0.025</v>
      </c>
      <c r="E7" s="9" t="n">
        <f aca="false">+B7*D7</f>
        <v>1.3725</v>
      </c>
    </row>
    <row r="8" customFormat="false" ht="14.25" hidden="false" customHeight="false" outlineLevel="0" collapsed="false">
      <c r="A8" s="7" t="n">
        <v>3</v>
      </c>
      <c r="B8" s="8" t="n">
        <f aca="false">+B7+C7</f>
        <v>54.8</v>
      </c>
      <c r="C8" s="9" t="n">
        <v>-0.1</v>
      </c>
      <c r="D8" s="10" t="n">
        <v>0.025</v>
      </c>
      <c r="E8" s="9" t="n">
        <f aca="false">+B8*D8</f>
        <v>1.37</v>
      </c>
    </row>
    <row r="9" customFormat="false" ht="14.25" hidden="false" customHeight="false" outlineLevel="0" collapsed="false">
      <c r="A9" s="7" t="n">
        <v>4</v>
      </c>
      <c r="B9" s="8" t="n">
        <f aca="false">+B8+C8</f>
        <v>54.7</v>
      </c>
      <c r="C9" s="9" t="n">
        <v>-0.1</v>
      </c>
      <c r="D9" s="10" t="n">
        <v>0.025</v>
      </c>
      <c r="E9" s="9" t="n">
        <f aca="false">+B9*D9</f>
        <v>1.3675</v>
      </c>
    </row>
    <row r="10" customFormat="false" ht="14.25" hidden="false" customHeight="false" outlineLevel="0" collapsed="false">
      <c r="A10" s="7" t="n">
        <v>5</v>
      </c>
      <c r="B10" s="8" t="n">
        <f aca="false">+B9+C9</f>
        <v>54.6</v>
      </c>
      <c r="C10" s="9" t="n">
        <v>-0.1</v>
      </c>
      <c r="D10" s="10" t="n">
        <v>0.025</v>
      </c>
      <c r="E10" s="9" t="n">
        <f aca="false">+B10*D10</f>
        <v>1.365</v>
      </c>
    </row>
    <row r="11" customFormat="false" ht="14.25" hidden="false" customHeight="false" outlineLevel="0" collapsed="false">
      <c r="A11" s="7" t="n">
        <v>6</v>
      </c>
      <c r="B11" s="8" t="n">
        <f aca="false">+B10+C10</f>
        <v>54.5</v>
      </c>
      <c r="C11" s="9" t="n">
        <v>-0.1</v>
      </c>
      <c r="D11" s="10" t="n">
        <v>0.025</v>
      </c>
      <c r="E11" s="9" t="n">
        <f aca="false">+B11*D11</f>
        <v>1.3625</v>
      </c>
    </row>
    <row r="12" customFormat="false" ht="14.25" hidden="false" customHeight="false" outlineLevel="0" collapsed="false">
      <c r="A12" s="7" t="n">
        <v>7</v>
      </c>
      <c r="B12" s="8" t="n">
        <f aca="false">+B11+C11</f>
        <v>54.4</v>
      </c>
      <c r="C12" s="9" t="n">
        <v>-0.1</v>
      </c>
      <c r="D12" s="10" t="n">
        <v>0.025</v>
      </c>
      <c r="E12" s="9" t="n">
        <f aca="false">+B12*D12</f>
        <v>1.36</v>
      </c>
    </row>
    <row r="13" customFormat="false" ht="14.25" hidden="false" customHeight="false" outlineLevel="0" collapsed="false">
      <c r="A13" s="7" t="n">
        <v>8</v>
      </c>
      <c r="B13" s="8" t="n">
        <f aca="false">+B12+C12</f>
        <v>54.3</v>
      </c>
      <c r="C13" s="9" t="n">
        <v>0</v>
      </c>
      <c r="D13" s="10" t="n">
        <v>0.025</v>
      </c>
      <c r="E13" s="9" t="n">
        <f aca="false">+B13*D13</f>
        <v>1.3575</v>
      </c>
    </row>
    <row r="14" customFormat="false" ht="14.25" hidden="false" customHeight="false" outlineLevel="0" collapsed="false">
      <c r="A14" s="7" t="n">
        <v>9</v>
      </c>
      <c r="B14" s="8" t="n">
        <f aca="false">+B13+C13</f>
        <v>54.3</v>
      </c>
      <c r="C14" s="9" t="n">
        <v>0.1</v>
      </c>
      <c r="D14" s="10" t="n">
        <v>0.025</v>
      </c>
      <c r="E14" s="9" t="n">
        <f aca="false">+B14*D14</f>
        <v>1.3575</v>
      </c>
    </row>
    <row r="15" customFormat="false" ht="14.25" hidden="false" customHeight="false" outlineLevel="0" collapsed="false">
      <c r="A15" s="7" t="n">
        <v>10</v>
      </c>
      <c r="B15" s="8" t="n">
        <f aca="false">+B14+C14</f>
        <v>54.4</v>
      </c>
      <c r="C15" s="9" t="n">
        <v>0.1</v>
      </c>
      <c r="D15" s="10" t="n">
        <v>0.025</v>
      </c>
      <c r="E15" s="9" t="n">
        <f aca="false">+B15*D15</f>
        <v>1.36</v>
      </c>
    </row>
    <row r="16" customFormat="false" ht="14.25" hidden="false" customHeight="false" outlineLevel="0" collapsed="false">
      <c r="A16" s="7" t="n">
        <v>11</v>
      </c>
      <c r="B16" s="8" t="n">
        <f aca="false">+B15+C15</f>
        <v>54.5</v>
      </c>
      <c r="C16" s="9" t="n">
        <v>0.1</v>
      </c>
      <c r="D16" s="10" t="n">
        <v>0.025</v>
      </c>
      <c r="E16" s="9" t="n">
        <f aca="false">+B16*D16</f>
        <v>1.3625</v>
      </c>
    </row>
    <row r="17" customFormat="false" ht="14.25" hidden="false" customHeight="false" outlineLevel="0" collapsed="false">
      <c r="A17" s="7" t="n">
        <v>12</v>
      </c>
      <c r="B17" s="8" t="n">
        <f aca="false">+B16+C16</f>
        <v>54.6</v>
      </c>
      <c r="C17" s="9" t="n">
        <v>0.15</v>
      </c>
      <c r="D17" s="10" t="n">
        <v>0.025</v>
      </c>
      <c r="E17" s="9" t="n">
        <f aca="false">+B17*D17</f>
        <v>1.365</v>
      </c>
    </row>
    <row r="18" customFormat="false" ht="14.25" hidden="false" customHeight="false" outlineLevel="0" collapsed="false">
      <c r="A18" s="7" t="n">
        <v>13</v>
      </c>
      <c r="B18" s="8" t="n">
        <f aca="false">+B17+C17</f>
        <v>54.75</v>
      </c>
      <c r="C18" s="9" t="n">
        <v>0.15</v>
      </c>
      <c r="D18" s="10" t="n">
        <v>0.025</v>
      </c>
      <c r="E18" s="9" t="n">
        <f aca="false">+B18*D18</f>
        <v>1.36875</v>
      </c>
    </row>
    <row r="19" customFormat="false" ht="14.25" hidden="false" customHeight="false" outlineLevel="0" collapsed="false">
      <c r="A19" s="7" t="n">
        <v>14</v>
      </c>
      <c r="B19" s="8" t="n">
        <f aca="false">+B18+C18</f>
        <v>54.9</v>
      </c>
      <c r="C19" s="9" t="n">
        <v>0.15</v>
      </c>
      <c r="D19" s="10" t="n">
        <v>0.025</v>
      </c>
      <c r="E19" s="9" t="n">
        <f aca="false">+B19*D19</f>
        <v>1.3725</v>
      </c>
    </row>
    <row r="20" customFormat="false" ht="14.25" hidden="false" customHeight="false" outlineLevel="0" collapsed="false">
      <c r="A20" s="7" t="n">
        <v>15</v>
      </c>
      <c r="B20" s="11" t="n">
        <f aca="false">+B19+C19</f>
        <v>55.05</v>
      </c>
      <c r="C20" s="9" t="n">
        <v>0.15</v>
      </c>
      <c r="D20" s="10" t="n">
        <v>0.025</v>
      </c>
      <c r="E20" s="9" t="n">
        <f aca="false">+B20*D20</f>
        <v>1.37625</v>
      </c>
    </row>
    <row r="21" customFormat="false" ht="4.5" hidden="false" customHeight="true" outlineLevel="0" collapsed="false">
      <c r="D21" s="12"/>
      <c r="E21" s="13"/>
    </row>
    <row r="22" customFormat="false" ht="14.25" hidden="false" customHeight="false" outlineLevel="0" collapsed="false">
      <c r="D22" s="12" t="s">
        <v>6</v>
      </c>
      <c r="E22" s="3" t="n">
        <f aca="false">SUM(E6:E21)</f>
        <v>20.4925</v>
      </c>
    </row>
    <row r="23" customFormat="false" ht="14.25" hidden="false" customHeight="false" outlineLevel="0" collapsed="false">
      <c r="D23" s="12" t="s">
        <v>7</v>
      </c>
      <c r="E23" s="3" t="n">
        <f aca="false">AVERAGE(E6:E20)</f>
        <v>1.36616666666667</v>
      </c>
    </row>
    <row r="25" customFormat="false" ht="14.25" hidden="false" customHeight="false" outlineLevel="0" collapsed="false">
      <c r="D25" s="1" t="s">
        <v>8</v>
      </c>
      <c r="E25" s="14" t="n">
        <f aca="false">PRECOZ!I145/1000</f>
        <v>833.86</v>
      </c>
    </row>
    <row r="26" customFormat="false" ht="14.25" hidden="false" customHeight="false" outlineLevel="0" collapsed="false">
      <c r="E26" s="14"/>
    </row>
    <row r="27" customFormat="false" ht="14.25" hidden="false" customHeight="false" outlineLevel="0" collapsed="false">
      <c r="D27" s="1" t="s">
        <v>9</v>
      </c>
      <c r="E27" s="15" t="n">
        <f aca="false">+E25*E22</f>
        <v>17087.87605</v>
      </c>
    </row>
    <row r="28" customFormat="false" ht="14.25" hidden="false" customHeight="false" outlineLevel="0" collapsed="false">
      <c r="D28" s="1" t="s">
        <v>10</v>
      </c>
      <c r="E28" s="14" t="n">
        <f aca="false">B20-B6</f>
        <v>0.0499999999999901</v>
      </c>
    </row>
    <row r="29" customFormat="false" ht="14.25" hidden="false" customHeight="false" outlineLevel="0" collapsed="false">
      <c r="D29" s="1" t="s">
        <v>11</v>
      </c>
      <c r="E29" s="15" t="n">
        <v>7600</v>
      </c>
    </row>
    <row r="30" customFormat="false" ht="14.25" hidden="false" customHeight="false" outlineLevel="0" collapsed="false">
      <c r="D30" s="1" t="s">
        <v>12</v>
      </c>
      <c r="E30" s="15" t="n">
        <f aca="false">+E29*E28</f>
        <v>379.999999999924</v>
      </c>
    </row>
  </sheetData>
  <mergeCells count="6">
    <mergeCell ref="A2:E3"/>
    <mergeCell ref="A4:A5"/>
    <mergeCell ref="B4:B5"/>
    <mergeCell ref="C4:C5"/>
    <mergeCell ref="D4:D5"/>
    <mergeCell ref="E4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57"/>
  <sheetViews>
    <sheetView showFormulas="false" showGridLines="false" showRowColHeaders="true" showZeros="true" rightToLeft="false" tabSelected="false" showOutlineSymbols="true" defaultGridColor="true" view="normal" topLeftCell="A118" colorId="64" zoomScale="100" zoomScaleNormal="100" zoomScalePageLayoutView="100" workbookViewId="0">
      <selection pane="topLeft" activeCell="H24" activeCellId="0" sqref="H2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.4"/>
    <col collapsed="false" customWidth="true" hidden="false" outlineLevel="0" max="2" min="2" style="2" width="13.13"/>
    <col collapsed="false" customWidth="true" hidden="false" outlineLevel="0" max="3" min="3" style="3" width="22.6"/>
    <col collapsed="false" customWidth="true" hidden="false" outlineLevel="0" max="4" min="4" style="1" width="24.73"/>
    <col collapsed="false" customWidth="true" hidden="false" outlineLevel="0" max="5" min="5" style="3" width="15.6"/>
    <col collapsed="false" customWidth="true" hidden="false" outlineLevel="0" max="8" min="8" style="0" width="41.94"/>
    <col collapsed="false" customWidth="true" hidden="false" outlineLevel="0" max="9" min="9" style="0" width="22.93"/>
  </cols>
  <sheetData>
    <row r="2" customFormat="false" ht="15" hidden="false" customHeight="true" outlineLevel="0" collapsed="false">
      <c r="A2" s="4" t="s">
        <v>13</v>
      </c>
      <c r="B2" s="4"/>
      <c r="C2" s="4"/>
      <c r="D2" s="4"/>
      <c r="E2" s="4"/>
    </row>
    <row r="3" customFormat="false" ht="15" hidden="false" customHeight="true" outlineLevel="0" collapsed="false">
      <c r="A3" s="4"/>
      <c r="B3" s="4"/>
      <c r="C3" s="4"/>
      <c r="D3" s="4"/>
      <c r="E3" s="4"/>
    </row>
    <row r="4" s="2" customFormat="true" ht="14.25" hidden="false" customHeight="true" outlineLevel="0" collapsed="false">
      <c r="A4" s="5" t="s">
        <v>1</v>
      </c>
      <c r="B4" s="5" t="s">
        <v>2</v>
      </c>
      <c r="C4" s="6" t="s">
        <v>14</v>
      </c>
      <c r="D4" s="5" t="s">
        <v>15</v>
      </c>
      <c r="E4" s="6" t="s">
        <v>16</v>
      </c>
    </row>
    <row r="5" s="2" customFormat="true" ht="14.25" hidden="false" customHeight="false" outlineLevel="0" collapsed="false">
      <c r="A5" s="5"/>
      <c r="B5" s="5"/>
      <c r="C5" s="6"/>
      <c r="D5" s="5"/>
      <c r="E5" s="5"/>
    </row>
    <row r="6" s="2" customFormat="true" ht="14.25" hidden="false" customHeight="false" outlineLevel="0" collapsed="false">
      <c r="A6" s="1" t="n">
        <v>16</v>
      </c>
      <c r="B6" s="2" t="n">
        <f aca="false">+HIPER!B20</f>
        <v>55.05</v>
      </c>
      <c r="C6" s="3" t="n">
        <v>0.25</v>
      </c>
      <c r="D6" s="12" t="n">
        <v>0.025</v>
      </c>
      <c r="E6" s="3" t="n">
        <f aca="false">+B6*D6</f>
        <v>1.37625</v>
      </c>
    </row>
    <row r="7" s="2" customFormat="true" ht="14.25" hidden="false" customHeight="false" outlineLevel="0" collapsed="false">
      <c r="A7" s="1" t="n">
        <v>17</v>
      </c>
      <c r="B7" s="2" t="n">
        <f aca="false">+B6+C6</f>
        <v>55.3</v>
      </c>
      <c r="C7" s="3" t="n">
        <v>0.25</v>
      </c>
      <c r="D7" s="12" t="n">
        <v>0.025</v>
      </c>
      <c r="E7" s="3" t="n">
        <f aca="false">+B7*D7</f>
        <v>1.3825</v>
      </c>
    </row>
    <row r="8" s="2" customFormat="true" ht="14.25" hidden="false" customHeight="false" outlineLevel="0" collapsed="false">
      <c r="A8" s="1" t="n">
        <v>18</v>
      </c>
      <c r="B8" s="2" t="n">
        <f aca="false">+B7+C7</f>
        <v>55.55</v>
      </c>
      <c r="C8" s="3" t="n">
        <v>0.25</v>
      </c>
      <c r="D8" s="12" t="n">
        <v>0.025</v>
      </c>
      <c r="E8" s="3" t="n">
        <f aca="false">+B8*D8</f>
        <v>1.38875</v>
      </c>
    </row>
    <row r="9" s="2" customFormat="true" ht="14.25" hidden="false" customHeight="false" outlineLevel="0" collapsed="false">
      <c r="A9" s="1" t="n">
        <v>19</v>
      </c>
      <c r="B9" s="2" t="n">
        <f aca="false">+B8+C8</f>
        <v>55.8</v>
      </c>
      <c r="C9" s="3" t="n">
        <v>0.3</v>
      </c>
      <c r="D9" s="12" t="n">
        <v>0.025</v>
      </c>
      <c r="E9" s="3" t="n">
        <f aca="false">+B9*D9</f>
        <v>1.395</v>
      </c>
    </row>
    <row r="10" s="2" customFormat="true" ht="14.25" hidden="false" customHeight="false" outlineLevel="0" collapsed="false">
      <c r="A10" s="1" t="n">
        <v>20</v>
      </c>
      <c r="B10" s="2" t="n">
        <f aca="false">+B9+C9</f>
        <v>56.1</v>
      </c>
      <c r="C10" s="3" t="n">
        <v>0.3</v>
      </c>
      <c r="D10" s="12" t="n">
        <v>0.025</v>
      </c>
      <c r="E10" s="3" t="n">
        <f aca="false">+B10*D10</f>
        <v>1.4025</v>
      </c>
    </row>
    <row r="11" s="2" customFormat="true" ht="14.25" hidden="false" customHeight="false" outlineLevel="0" collapsed="false">
      <c r="A11" s="1" t="n">
        <v>21</v>
      </c>
      <c r="B11" s="2" t="n">
        <f aca="false">+B10+C10</f>
        <v>56.4</v>
      </c>
      <c r="C11" s="3" t="n">
        <v>0.3</v>
      </c>
      <c r="D11" s="12" t="n">
        <v>0.025</v>
      </c>
      <c r="E11" s="3" t="n">
        <f aca="false">+B11*D11</f>
        <v>1.41</v>
      </c>
    </row>
    <row r="12" s="2" customFormat="true" ht="14.25" hidden="false" customHeight="false" outlineLevel="0" collapsed="false">
      <c r="A12" s="1" t="n">
        <v>22</v>
      </c>
      <c r="B12" s="2" t="n">
        <f aca="false">+B11+C11</f>
        <v>56.7</v>
      </c>
      <c r="C12" s="3" t="n">
        <v>0.3</v>
      </c>
      <c r="D12" s="12" t="n">
        <v>0.025</v>
      </c>
      <c r="E12" s="3" t="n">
        <f aca="false">+B12*D12</f>
        <v>1.4175</v>
      </c>
    </row>
    <row r="13" s="2" customFormat="true" ht="14.25" hidden="false" customHeight="false" outlineLevel="0" collapsed="false">
      <c r="A13" s="1" t="n">
        <v>23</v>
      </c>
      <c r="B13" s="2" t="n">
        <f aca="false">+B12+C12</f>
        <v>57</v>
      </c>
      <c r="C13" s="3" t="n">
        <v>0.3</v>
      </c>
      <c r="D13" s="12" t="n">
        <v>0.025</v>
      </c>
      <c r="E13" s="3" t="n">
        <f aca="false">+B13*D13</f>
        <v>1.425</v>
      </c>
    </row>
    <row r="14" s="2" customFormat="true" ht="14.25" hidden="false" customHeight="false" outlineLevel="0" collapsed="false">
      <c r="A14" s="1" t="n">
        <v>24</v>
      </c>
      <c r="B14" s="2" t="n">
        <f aca="false">+B13+C13</f>
        <v>57.3</v>
      </c>
      <c r="C14" s="3" t="n">
        <v>0.3</v>
      </c>
      <c r="D14" s="12" t="n">
        <v>0.025</v>
      </c>
      <c r="E14" s="3" t="n">
        <f aca="false">+B14*D14</f>
        <v>1.4325</v>
      </c>
    </row>
    <row r="15" s="2" customFormat="true" ht="14.25" hidden="false" customHeight="false" outlineLevel="0" collapsed="false">
      <c r="A15" s="1" t="n">
        <v>25</v>
      </c>
      <c r="B15" s="2" t="n">
        <f aca="false">+B14+C14</f>
        <v>57.6</v>
      </c>
      <c r="C15" s="3" t="n">
        <v>0.3</v>
      </c>
      <c r="D15" s="12" t="n">
        <v>0.025</v>
      </c>
      <c r="E15" s="3" t="n">
        <f aca="false">+B15*D15</f>
        <v>1.44</v>
      </c>
    </row>
    <row r="16" s="2" customFormat="true" ht="14.25" hidden="false" customHeight="false" outlineLevel="0" collapsed="false">
      <c r="A16" s="1" t="n">
        <v>26</v>
      </c>
      <c r="B16" s="2" t="n">
        <f aca="false">+B15+C15</f>
        <v>57.9</v>
      </c>
      <c r="C16" s="3" t="n">
        <v>0.4</v>
      </c>
      <c r="D16" s="12" t="n">
        <v>0.025</v>
      </c>
      <c r="E16" s="3" t="n">
        <f aca="false">+B16*D16</f>
        <v>1.4475</v>
      </c>
    </row>
    <row r="17" s="2" customFormat="true" ht="14.25" hidden="false" customHeight="false" outlineLevel="0" collapsed="false">
      <c r="A17" s="1" t="n">
        <v>27</v>
      </c>
      <c r="B17" s="2" t="n">
        <f aca="false">+B16+C16</f>
        <v>58.3</v>
      </c>
      <c r="C17" s="3" t="n">
        <v>0.4</v>
      </c>
      <c r="D17" s="12" t="n">
        <v>0.025</v>
      </c>
      <c r="E17" s="3" t="n">
        <f aca="false">+B17*D17</f>
        <v>1.4575</v>
      </c>
    </row>
    <row r="18" s="2" customFormat="true" ht="14.25" hidden="false" customHeight="false" outlineLevel="0" collapsed="false">
      <c r="A18" s="1" t="n">
        <v>28</v>
      </c>
      <c r="B18" s="2" t="n">
        <f aca="false">+B17+C17</f>
        <v>58.7</v>
      </c>
      <c r="C18" s="3" t="n">
        <v>0.4</v>
      </c>
      <c r="D18" s="12" t="n">
        <v>0.025</v>
      </c>
      <c r="E18" s="3" t="n">
        <f aca="false">+B18*D18</f>
        <v>1.4675</v>
      </c>
    </row>
    <row r="19" s="2" customFormat="true" ht="14.25" hidden="false" customHeight="false" outlineLevel="0" collapsed="false">
      <c r="A19" s="1" t="n">
        <v>29</v>
      </c>
      <c r="B19" s="2" t="n">
        <f aca="false">+B18+C18</f>
        <v>59.1</v>
      </c>
      <c r="C19" s="3" t="n">
        <v>0.4</v>
      </c>
      <c r="D19" s="12" t="n">
        <v>0.025</v>
      </c>
      <c r="E19" s="3" t="n">
        <f aca="false">+B19*D19</f>
        <v>1.4775</v>
      </c>
    </row>
    <row r="20" s="2" customFormat="true" ht="14.25" hidden="false" customHeight="false" outlineLevel="0" collapsed="false">
      <c r="A20" s="1" t="n">
        <v>30</v>
      </c>
      <c r="B20" s="2" t="n">
        <f aca="false">+B19+C19</f>
        <v>59.5</v>
      </c>
      <c r="C20" s="3" t="n">
        <v>0.4</v>
      </c>
      <c r="D20" s="12" t="n">
        <v>0.025</v>
      </c>
      <c r="E20" s="3" t="n">
        <f aca="false">+B20*D20</f>
        <v>1.4875</v>
      </c>
    </row>
    <row r="21" s="2" customFormat="true" ht="14.25" hidden="false" customHeight="false" outlineLevel="0" collapsed="false">
      <c r="A21" s="1" t="n">
        <v>31</v>
      </c>
      <c r="B21" s="2" t="n">
        <f aca="false">+B20+C20</f>
        <v>59.9</v>
      </c>
      <c r="C21" s="3" t="n">
        <v>0.4</v>
      </c>
      <c r="D21" s="12" t="n">
        <v>0.03</v>
      </c>
      <c r="E21" s="3" t="n">
        <f aca="false">+B21*D21</f>
        <v>1.797</v>
      </c>
    </row>
    <row r="22" s="2" customFormat="true" ht="14.25" hidden="false" customHeight="false" outlineLevel="0" collapsed="false">
      <c r="A22" s="1" t="n">
        <v>32</v>
      </c>
      <c r="B22" s="2" t="n">
        <f aca="false">+B21+C21</f>
        <v>60.3</v>
      </c>
      <c r="C22" s="3" t="n">
        <v>0.4</v>
      </c>
      <c r="D22" s="12" t="n">
        <v>0.03</v>
      </c>
      <c r="E22" s="3" t="n">
        <f aca="false">+B22*D22</f>
        <v>1.809</v>
      </c>
    </row>
    <row r="23" s="2" customFormat="true" ht="14.25" hidden="false" customHeight="false" outlineLevel="0" collapsed="false">
      <c r="A23" s="1" t="n">
        <v>33</v>
      </c>
      <c r="B23" s="2" t="n">
        <f aca="false">+B22+C22</f>
        <v>60.7</v>
      </c>
      <c r="C23" s="3" t="n">
        <v>0.4</v>
      </c>
      <c r="D23" s="12" t="n">
        <v>0.03</v>
      </c>
      <c r="E23" s="3" t="n">
        <f aca="false">+B23*D23</f>
        <v>1.821</v>
      </c>
    </row>
    <row r="24" s="2" customFormat="true" ht="14.25" hidden="false" customHeight="false" outlineLevel="0" collapsed="false">
      <c r="A24" s="1" t="n">
        <v>34</v>
      </c>
      <c r="B24" s="2" t="n">
        <f aca="false">+B23+C23</f>
        <v>61.1</v>
      </c>
      <c r="C24" s="3" t="n">
        <v>0.4</v>
      </c>
      <c r="D24" s="12" t="n">
        <v>0.03</v>
      </c>
      <c r="E24" s="3" t="n">
        <f aca="false">+B24*D24</f>
        <v>1.833</v>
      </c>
    </row>
    <row r="25" s="2" customFormat="true" ht="14.25" hidden="false" customHeight="false" outlineLevel="0" collapsed="false">
      <c r="A25" s="1" t="n">
        <v>35</v>
      </c>
      <c r="B25" s="2" t="n">
        <f aca="false">+B24+C24</f>
        <v>61.5</v>
      </c>
      <c r="C25" s="3" t="n">
        <v>0.4</v>
      </c>
      <c r="D25" s="12" t="n">
        <v>0.03</v>
      </c>
      <c r="E25" s="3" t="n">
        <f aca="false">+B25*D25</f>
        <v>1.845</v>
      </c>
    </row>
    <row r="26" s="2" customFormat="true" ht="14.25" hidden="false" customHeight="false" outlineLevel="0" collapsed="false">
      <c r="A26" s="1" t="n">
        <v>36</v>
      </c>
      <c r="B26" s="2" t="n">
        <f aca="false">+B25+C25</f>
        <v>61.9</v>
      </c>
      <c r="C26" s="3" t="n">
        <v>0.4</v>
      </c>
      <c r="D26" s="12" t="n">
        <v>0.03</v>
      </c>
      <c r="E26" s="3" t="n">
        <f aca="false">+B26*D26</f>
        <v>1.857</v>
      </c>
    </row>
    <row r="27" s="2" customFormat="true" ht="14.25" hidden="false" customHeight="false" outlineLevel="0" collapsed="false">
      <c r="A27" s="1" t="n">
        <v>37</v>
      </c>
      <c r="B27" s="2" t="n">
        <f aca="false">+B26+C26</f>
        <v>62.3</v>
      </c>
      <c r="C27" s="3" t="n">
        <v>0.4</v>
      </c>
      <c r="D27" s="12" t="n">
        <v>0.03</v>
      </c>
      <c r="E27" s="3" t="n">
        <f aca="false">+B27*D27</f>
        <v>1.869</v>
      </c>
    </row>
    <row r="28" s="2" customFormat="true" ht="14.25" hidden="false" customHeight="false" outlineLevel="0" collapsed="false">
      <c r="A28" s="1" t="n">
        <v>38</v>
      </c>
      <c r="B28" s="2" t="n">
        <f aca="false">+B27+C27</f>
        <v>62.7</v>
      </c>
      <c r="C28" s="3" t="n">
        <v>0.4</v>
      </c>
      <c r="D28" s="12" t="n">
        <v>0.03</v>
      </c>
      <c r="E28" s="3" t="n">
        <f aca="false">+B28*D28</f>
        <v>1.881</v>
      </c>
    </row>
    <row r="29" s="2" customFormat="true" ht="14.25" hidden="false" customHeight="false" outlineLevel="0" collapsed="false">
      <c r="A29" s="1" t="n">
        <v>39</v>
      </c>
      <c r="B29" s="2" t="n">
        <f aca="false">+B28+C28</f>
        <v>63.1</v>
      </c>
      <c r="C29" s="3" t="n">
        <v>0.4</v>
      </c>
      <c r="D29" s="12" t="n">
        <v>0.03</v>
      </c>
      <c r="E29" s="3" t="n">
        <f aca="false">+B29*D29</f>
        <v>1.893</v>
      </c>
    </row>
    <row r="30" s="2" customFormat="true" ht="14.25" hidden="false" customHeight="false" outlineLevel="0" collapsed="false">
      <c r="A30" s="1" t="n">
        <v>40</v>
      </c>
      <c r="B30" s="2" t="n">
        <f aca="false">+B29+C29</f>
        <v>63.5</v>
      </c>
      <c r="C30" s="3" t="n">
        <v>0.4</v>
      </c>
      <c r="D30" s="12" t="n">
        <v>0.03</v>
      </c>
      <c r="E30" s="3" t="n">
        <f aca="false">+B30*D30</f>
        <v>1.905</v>
      </c>
    </row>
    <row r="31" s="2" customFormat="true" ht="14.25" hidden="false" customHeight="false" outlineLevel="0" collapsed="false">
      <c r="A31" s="1" t="n">
        <v>41</v>
      </c>
      <c r="B31" s="2" t="n">
        <f aca="false">+B30+C30</f>
        <v>63.9</v>
      </c>
      <c r="C31" s="3" t="n">
        <v>0.45</v>
      </c>
      <c r="D31" s="12" t="n">
        <v>0.03</v>
      </c>
      <c r="E31" s="3" t="n">
        <f aca="false">+B31*D31</f>
        <v>1.917</v>
      </c>
    </row>
    <row r="32" s="2" customFormat="true" ht="14.25" hidden="false" customHeight="false" outlineLevel="0" collapsed="false">
      <c r="A32" s="1" t="n">
        <v>42</v>
      </c>
      <c r="B32" s="2" t="n">
        <f aca="false">+B31+C31</f>
        <v>64.35</v>
      </c>
      <c r="C32" s="3" t="n">
        <v>0.45</v>
      </c>
      <c r="D32" s="12" t="n">
        <v>0.03</v>
      </c>
      <c r="E32" s="3" t="n">
        <f aca="false">+B32*D32</f>
        <v>1.9305</v>
      </c>
    </row>
    <row r="33" s="2" customFormat="true" ht="14.25" hidden="false" customHeight="false" outlineLevel="0" collapsed="false">
      <c r="A33" s="1" t="n">
        <v>43</v>
      </c>
      <c r="B33" s="2" t="n">
        <f aca="false">+B32+C32</f>
        <v>64.8</v>
      </c>
      <c r="C33" s="3" t="n">
        <v>0.45</v>
      </c>
      <c r="D33" s="12" t="n">
        <v>0.03</v>
      </c>
      <c r="E33" s="3" t="n">
        <f aca="false">+B33*D33</f>
        <v>1.944</v>
      </c>
    </row>
    <row r="34" s="2" customFormat="true" ht="14.25" hidden="false" customHeight="false" outlineLevel="0" collapsed="false">
      <c r="A34" s="1" t="n">
        <v>44</v>
      </c>
      <c r="B34" s="2" t="n">
        <f aca="false">+B33+C33</f>
        <v>65.25</v>
      </c>
      <c r="C34" s="3" t="n">
        <v>0.45</v>
      </c>
      <c r="D34" s="12" t="n">
        <v>0.03</v>
      </c>
      <c r="E34" s="3" t="n">
        <f aca="false">+B34*D34</f>
        <v>1.9575</v>
      </c>
    </row>
    <row r="35" s="2" customFormat="true" ht="14.25" hidden="false" customHeight="false" outlineLevel="0" collapsed="false">
      <c r="A35" s="1" t="n">
        <v>45</v>
      </c>
      <c r="B35" s="2" t="n">
        <f aca="false">+B34+C34</f>
        <v>65.7</v>
      </c>
      <c r="C35" s="3" t="n">
        <v>0.45</v>
      </c>
      <c r="D35" s="12" t="n">
        <v>0.03</v>
      </c>
      <c r="E35" s="3" t="n">
        <f aca="false">+B35*D35</f>
        <v>1.971</v>
      </c>
    </row>
    <row r="36" s="2" customFormat="true" ht="14.25" hidden="false" customHeight="false" outlineLevel="0" collapsed="false">
      <c r="A36" s="1" t="n">
        <v>46</v>
      </c>
      <c r="B36" s="2" t="n">
        <f aca="false">+B35+C35</f>
        <v>66.15</v>
      </c>
      <c r="C36" s="3" t="n">
        <v>0.45</v>
      </c>
      <c r="D36" s="12" t="n">
        <v>0.03</v>
      </c>
      <c r="E36" s="3" t="n">
        <f aca="false">+B36*D36</f>
        <v>1.9845</v>
      </c>
    </row>
    <row r="37" s="2" customFormat="true" ht="14.25" hidden="false" customHeight="false" outlineLevel="0" collapsed="false">
      <c r="A37" s="1" t="n">
        <v>47</v>
      </c>
      <c r="B37" s="2" t="n">
        <f aca="false">+B36+C36</f>
        <v>66.6</v>
      </c>
      <c r="C37" s="3" t="n">
        <v>0.45</v>
      </c>
      <c r="D37" s="12" t="n">
        <v>0.03</v>
      </c>
      <c r="E37" s="3" t="n">
        <f aca="false">+B37*D37</f>
        <v>1.998</v>
      </c>
    </row>
    <row r="38" s="2" customFormat="true" ht="14.25" hidden="false" customHeight="false" outlineLevel="0" collapsed="false">
      <c r="A38" s="1" t="n">
        <v>48</v>
      </c>
      <c r="B38" s="2" t="n">
        <f aca="false">+B37+C37</f>
        <v>67.05</v>
      </c>
      <c r="C38" s="3" t="n">
        <v>0.45</v>
      </c>
      <c r="D38" s="12" t="n">
        <v>0.03</v>
      </c>
      <c r="E38" s="3" t="n">
        <f aca="false">+B38*D38</f>
        <v>2.0115</v>
      </c>
    </row>
    <row r="39" s="2" customFormat="true" ht="14.25" hidden="false" customHeight="false" outlineLevel="0" collapsed="false">
      <c r="A39" s="1" t="n">
        <v>49</v>
      </c>
      <c r="B39" s="2" t="n">
        <f aca="false">+B38+C38</f>
        <v>67.5</v>
      </c>
      <c r="C39" s="3" t="n">
        <v>0.45</v>
      </c>
      <c r="D39" s="12" t="n">
        <v>0.03</v>
      </c>
      <c r="E39" s="3" t="n">
        <f aca="false">+B39*D39</f>
        <v>2.025</v>
      </c>
    </row>
    <row r="40" s="2" customFormat="true" ht="14.25" hidden="false" customHeight="false" outlineLevel="0" collapsed="false">
      <c r="A40" s="1" t="n">
        <v>50</v>
      </c>
      <c r="B40" s="2" t="n">
        <f aca="false">+B39+C39</f>
        <v>67.95</v>
      </c>
      <c r="C40" s="3" t="n">
        <v>0.45</v>
      </c>
      <c r="D40" s="12" t="n">
        <v>0.03</v>
      </c>
      <c r="E40" s="3" t="n">
        <f aca="false">+B40*D40</f>
        <v>2.0385</v>
      </c>
    </row>
    <row r="41" s="2" customFormat="true" ht="14.25" hidden="false" customHeight="false" outlineLevel="0" collapsed="false">
      <c r="A41" s="1" t="n">
        <v>51</v>
      </c>
      <c r="B41" s="2" t="n">
        <f aca="false">+B40+C40</f>
        <v>68.4</v>
      </c>
      <c r="C41" s="3" t="n">
        <v>0.45</v>
      </c>
      <c r="D41" s="12" t="n">
        <v>0.03</v>
      </c>
      <c r="E41" s="3" t="n">
        <f aca="false">+B41*D41</f>
        <v>2.052</v>
      </c>
    </row>
    <row r="42" s="2" customFormat="true" ht="14.25" hidden="false" customHeight="false" outlineLevel="0" collapsed="false">
      <c r="A42" s="1" t="n">
        <v>52</v>
      </c>
      <c r="B42" s="2" t="n">
        <f aca="false">+B41+C41</f>
        <v>68.85</v>
      </c>
      <c r="C42" s="3" t="n">
        <v>0.5</v>
      </c>
      <c r="D42" s="12" t="n">
        <v>0.03</v>
      </c>
      <c r="E42" s="3" t="n">
        <f aca="false">+B42*D42</f>
        <v>2.0655</v>
      </c>
    </row>
    <row r="43" s="2" customFormat="true" ht="14.25" hidden="false" customHeight="false" outlineLevel="0" collapsed="false">
      <c r="A43" s="1" t="n">
        <v>53</v>
      </c>
      <c r="B43" s="2" t="n">
        <f aca="false">+B42+C42</f>
        <v>69.35</v>
      </c>
      <c r="C43" s="3" t="n">
        <v>0.5</v>
      </c>
      <c r="D43" s="12" t="n">
        <v>0.03</v>
      </c>
      <c r="E43" s="3" t="n">
        <f aca="false">+B43*D43</f>
        <v>2.0805</v>
      </c>
    </row>
    <row r="44" s="2" customFormat="true" ht="14.25" hidden="false" customHeight="false" outlineLevel="0" collapsed="false">
      <c r="A44" s="1" t="n">
        <v>54</v>
      </c>
      <c r="B44" s="2" t="n">
        <f aca="false">+B43+C43</f>
        <v>69.85</v>
      </c>
      <c r="C44" s="3" t="n">
        <v>0.5</v>
      </c>
      <c r="D44" s="12" t="n">
        <v>0.03</v>
      </c>
      <c r="E44" s="3" t="n">
        <f aca="false">+B44*D44</f>
        <v>2.0955</v>
      </c>
    </row>
    <row r="45" s="2" customFormat="true" ht="14.25" hidden="false" customHeight="false" outlineLevel="0" collapsed="false">
      <c r="A45" s="1" t="n">
        <v>55</v>
      </c>
      <c r="B45" s="2" t="n">
        <f aca="false">+B44+C44</f>
        <v>70.35</v>
      </c>
      <c r="C45" s="3" t="n">
        <v>0.5</v>
      </c>
      <c r="D45" s="12" t="n">
        <v>0.03</v>
      </c>
      <c r="E45" s="3" t="n">
        <f aca="false">+B45*D45</f>
        <v>2.1105</v>
      </c>
    </row>
    <row r="46" s="2" customFormat="true" ht="14.25" hidden="false" customHeight="false" outlineLevel="0" collapsed="false">
      <c r="A46" s="1" t="n">
        <v>56</v>
      </c>
      <c r="B46" s="2" t="n">
        <f aca="false">+B45+C45</f>
        <v>70.85</v>
      </c>
      <c r="C46" s="3" t="n">
        <v>0.5</v>
      </c>
      <c r="D46" s="12" t="n">
        <v>0.03</v>
      </c>
      <c r="E46" s="3" t="n">
        <f aca="false">+B46*D46</f>
        <v>2.1255</v>
      </c>
    </row>
    <row r="47" s="2" customFormat="true" ht="14.25" hidden="false" customHeight="false" outlineLevel="0" collapsed="false">
      <c r="A47" s="1" t="n">
        <v>57</v>
      </c>
      <c r="B47" s="2" t="n">
        <f aca="false">+B46+C46</f>
        <v>71.35</v>
      </c>
      <c r="C47" s="3" t="n">
        <v>0.5</v>
      </c>
      <c r="D47" s="12" t="n">
        <v>0.03</v>
      </c>
      <c r="E47" s="3" t="n">
        <f aca="false">+B47*D47</f>
        <v>2.1405</v>
      </c>
    </row>
    <row r="48" s="2" customFormat="true" ht="14.25" hidden="false" customHeight="false" outlineLevel="0" collapsed="false">
      <c r="A48" s="1" t="n">
        <v>58</v>
      </c>
      <c r="B48" s="2" t="n">
        <f aca="false">+B47+C47</f>
        <v>71.85</v>
      </c>
      <c r="C48" s="3" t="n">
        <v>0.5</v>
      </c>
      <c r="D48" s="12" t="n">
        <v>0.03</v>
      </c>
      <c r="E48" s="3" t="n">
        <f aca="false">+B48*D48</f>
        <v>2.1555</v>
      </c>
    </row>
    <row r="49" s="2" customFormat="true" ht="14.25" hidden="false" customHeight="false" outlineLevel="0" collapsed="false">
      <c r="A49" s="1" t="n">
        <v>59</v>
      </c>
      <c r="B49" s="2" t="n">
        <f aca="false">+B48+C48</f>
        <v>72.35</v>
      </c>
      <c r="C49" s="3" t="n">
        <v>0.6</v>
      </c>
      <c r="D49" s="12" t="n">
        <v>0.03</v>
      </c>
      <c r="E49" s="3" t="n">
        <f aca="false">+B49*D49</f>
        <v>2.1705</v>
      </c>
    </row>
    <row r="50" s="2" customFormat="true" ht="14.25" hidden="false" customHeight="false" outlineLevel="0" collapsed="false">
      <c r="A50" s="1" t="n">
        <v>60</v>
      </c>
      <c r="B50" s="2" t="n">
        <f aca="false">+B49+C49</f>
        <v>72.95</v>
      </c>
      <c r="C50" s="3" t="n">
        <v>0.6</v>
      </c>
      <c r="D50" s="12" t="n">
        <v>0.03</v>
      </c>
      <c r="E50" s="3" t="n">
        <f aca="false">+B50*D50</f>
        <v>2.1885</v>
      </c>
    </row>
    <row r="51" s="2" customFormat="true" ht="14.25" hidden="false" customHeight="false" outlineLevel="0" collapsed="false">
      <c r="A51" s="1" t="n">
        <v>61</v>
      </c>
      <c r="B51" s="2" t="n">
        <f aca="false">+B50+C50</f>
        <v>73.55</v>
      </c>
      <c r="C51" s="3" t="n">
        <v>0.6</v>
      </c>
      <c r="D51" s="12" t="n">
        <v>0.03</v>
      </c>
      <c r="E51" s="3" t="n">
        <f aca="false">+B51*D51</f>
        <v>2.2065</v>
      </c>
    </row>
    <row r="52" s="2" customFormat="true" ht="14.25" hidden="false" customHeight="false" outlineLevel="0" collapsed="false">
      <c r="A52" s="1" t="n">
        <v>62</v>
      </c>
      <c r="B52" s="2" t="n">
        <f aca="false">+B51+C51</f>
        <v>74.15</v>
      </c>
      <c r="C52" s="3" t="n">
        <v>0.6</v>
      </c>
      <c r="D52" s="12" t="n">
        <v>0.03</v>
      </c>
      <c r="E52" s="3" t="n">
        <f aca="false">+B52*D52</f>
        <v>2.2245</v>
      </c>
    </row>
    <row r="53" s="2" customFormat="true" ht="14.25" hidden="false" customHeight="false" outlineLevel="0" collapsed="false">
      <c r="A53" s="1" t="n">
        <v>63</v>
      </c>
      <c r="B53" s="2" t="n">
        <f aca="false">+B52+C52</f>
        <v>74.75</v>
      </c>
      <c r="C53" s="3" t="n">
        <v>0.6</v>
      </c>
      <c r="D53" s="12" t="n">
        <v>0.03</v>
      </c>
      <c r="E53" s="3" t="n">
        <f aca="false">+B53*D53</f>
        <v>2.2425</v>
      </c>
    </row>
    <row r="54" s="2" customFormat="true" ht="14.25" hidden="false" customHeight="false" outlineLevel="0" collapsed="false">
      <c r="A54" s="1" t="n">
        <v>64</v>
      </c>
      <c r="B54" s="2" t="n">
        <f aca="false">+B53+C53</f>
        <v>75.35</v>
      </c>
      <c r="C54" s="3" t="n">
        <v>0.6</v>
      </c>
      <c r="D54" s="12" t="n">
        <v>0.03</v>
      </c>
      <c r="E54" s="3" t="n">
        <f aca="false">+B54*D54</f>
        <v>2.2605</v>
      </c>
    </row>
    <row r="55" s="2" customFormat="true" ht="14.25" hidden="false" customHeight="false" outlineLevel="0" collapsed="false">
      <c r="A55" s="1" t="n">
        <v>65</v>
      </c>
      <c r="B55" s="2" t="n">
        <f aca="false">+B54+C54</f>
        <v>75.9499999999999</v>
      </c>
      <c r="C55" s="3" t="n">
        <v>0.6</v>
      </c>
      <c r="D55" s="12" t="n">
        <v>0.03</v>
      </c>
      <c r="E55" s="3" t="n">
        <f aca="false">+B55*D55</f>
        <v>2.2785</v>
      </c>
    </row>
    <row r="56" s="2" customFormat="true" ht="14.25" hidden="false" customHeight="false" outlineLevel="0" collapsed="false">
      <c r="A56" s="1" t="n">
        <v>66</v>
      </c>
      <c r="B56" s="2" t="n">
        <f aca="false">+B55+C55</f>
        <v>76.5499999999999</v>
      </c>
      <c r="C56" s="3" t="n">
        <v>0.6</v>
      </c>
      <c r="D56" s="12" t="n">
        <v>0.03</v>
      </c>
      <c r="E56" s="3" t="n">
        <f aca="false">+B56*D56</f>
        <v>2.2965</v>
      </c>
    </row>
    <row r="57" s="2" customFormat="true" ht="14.25" hidden="false" customHeight="false" outlineLevel="0" collapsed="false">
      <c r="A57" s="1" t="n">
        <v>67</v>
      </c>
      <c r="B57" s="2" t="n">
        <f aca="false">+B56+C56</f>
        <v>77.1499999999999</v>
      </c>
      <c r="C57" s="3" t="n">
        <v>0.6</v>
      </c>
      <c r="D57" s="12" t="n">
        <v>0.03</v>
      </c>
      <c r="E57" s="3" t="n">
        <f aca="false">+B57*D57</f>
        <v>2.3145</v>
      </c>
    </row>
    <row r="58" s="2" customFormat="true" ht="14.25" hidden="false" customHeight="false" outlineLevel="0" collapsed="false">
      <c r="A58" s="1" t="n">
        <v>68</v>
      </c>
      <c r="B58" s="2" t="n">
        <f aca="false">+B57+C57</f>
        <v>77.7499999999999</v>
      </c>
      <c r="C58" s="3" t="n">
        <v>0.6</v>
      </c>
      <c r="D58" s="12" t="n">
        <v>0.03</v>
      </c>
      <c r="E58" s="3" t="n">
        <f aca="false">+B58*D58</f>
        <v>2.3325</v>
      </c>
    </row>
    <row r="59" s="2" customFormat="true" ht="14.25" hidden="false" customHeight="false" outlineLevel="0" collapsed="false">
      <c r="A59" s="1" t="n">
        <v>69</v>
      </c>
      <c r="B59" s="2" t="n">
        <f aca="false">+B58+C58</f>
        <v>78.3499999999999</v>
      </c>
      <c r="C59" s="3" t="n">
        <v>0.6</v>
      </c>
      <c r="D59" s="12" t="n">
        <v>0.03</v>
      </c>
      <c r="E59" s="3" t="n">
        <f aca="false">+B59*D59</f>
        <v>2.3505</v>
      </c>
    </row>
    <row r="60" s="2" customFormat="true" ht="14.25" hidden="false" customHeight="false" outlineLevel="0" collapsed="false">
      <c r="A60" s="1" t="n">
        <v>70</v>
      </c>
      <c r="B60" s="2" t="n">
        <f aca="false">+B59+C59</f>
        <v>78.9499999999999</v>
      </c>
      <c r="C60" s="3" t="n">
        <v>0.6</v>
      </c>
      <c r="D60" s="12" t="n">
        <v>0.03</v>
      </c>
      <c r="E60" s="3" t="n">
        <f aca="false">+B60*D60</f>
        <v>2.3685</v>
      </c>
    </row>
    <row r="61" s="2" customFormat="true" ht="14.25" hidden="false" customHeight="false" outlineLevel="0" collapsed="false">
      <c r="A61" s="1" t="n">
        <v>71</v>
      </c>
      <c r="B61" s="2" t="n">
        <f aca="false">+B60+C60</f>
        <v>79.5499999999999</v>
      </c>
      <c r="C61" s="3" t="n">
        <v>0.6</v>
      </c>
      <c r="D61" s="12" t="n">
        <v>0.03</v>
      </c>
      <c r="E61" s="3" t="n">
        <f aca="false">+B61*D61</f>
        <v>2.3865</v>
      </c>
    </row>
    <row r="62" s="2" customFormat="true" ht="14.25" hidden="false" customHeight="false" outlineLevel="0" collapsed="false">
      <c r="A62" s="1" t="n">
        <v>72</v>
      </c>
      <c r="B62" s="2" t="n">
        <f aca="false">+B61+C61</f>
        <v>80.1499999999999</v>
      </c>
      <c r="C62" s="3" t="n">
        <v>0.6</v>
      </c>
      <c r="D62" s="12" t="n">
        <v>0.03</v>
      </c>
      <c r="E62" s="3" t="n">
        <f aca="false">+B62*D62</f>
        <v>2.4045</v>
      </c>
    </row>
    <row r="63" s="2" customFormat="true" ht="14.25" hidden="false" customHeight="false" outlineLevel="0" collapsed="false">
      <c r="A63" s="1" t="n">
        <v>73</v>
      </c>
      <c r="B63" s="2" t="n">
        <f aca="false">+B62+C62</f>
        <v>80.7499999999999</v>
      </c>
      <c r="C63" s="3" t="n">
        <v>0.6</v>
      </c>
      <c r="D63" s="12" t="n">
        <v>0.03</v>
      </c>
      <c r="E63" s="3" t="n">
        <f aca="false">+B63*D63</f>
        <v>2.4225</v>
      </c>
    </row>
    <row r="64" s="2" customFormat="true" ht="14.25" hidden="false" customHeight="false" outlineLevel="0" collapsed="false">
      <c r="A64" s="1" t="n">
        <v>74</v>
      </c>
      <c r="B64" s="2" t="n">
        <f aca="false">+B63+C63</f>
        <v>81.3499999999999</v>
      </c>
      <c r="C64" s="3" t="n">
        <v>0.6</v>
      </c>
      <c r="D64" s="12" t="n">
        <v>0.03</v>
      </c>
      <c r="E64" s="3" t="n">
        <f aca="false">+B64*D64</f>
        <v>2.4405</v>
      </c>
    </row>
    <row r="65" s="2" customFormat="true" ht="14.25" hidden="false" customHeight="false" outlineLevel="0" collapsed="false">
      <c r="A65" s="1" t="n">
        <v>75</v>
      </c>
      <c r="B65" s="2" t="n">
        <f aca="false">+B64+C64</f>
        <v>81.9499999999999</v>
      </c>
      <c r="C65" s="3" t="n">
        <v>0.6</v>
      </c>
      <c r="D65" s="12" t="n">
        <v>0.03</v>
      </c>
      <c r="E65" s="3" t="n">
        <f aca="false">+B65*D65</f>
        <v>2.4585</v>
      </c>
    </row>
    <row r="66" s="2" customFormat="true" ht="14.25" hidden="false" customHeight="false" outlineLevel="0" collapsed="false">
      <c r="A66" s="1" t="n">
        <v>76</v>
      </c>
      <c r="B66" s="2" t="n">
        <f aca="false">+B65+C65</f>
        <v>82.5499999999999</v>
      </c>
      <c r="C66" s="3" t="n">
        <v>0.6</v>
      </c>
      <c r="D66" s="12" t="n">
        <v>0.03</v>
      </c>
      <c r="E66" s="3" t="n">
        <f aca="false">+B66*D66</f>
        <v>2.4765</v>
      </c>
    </row>
    <row r="67" s="2" customFormat="true" ht="14.25" hidden="false" customHeight="false" outlineLevel="0" collapsed="false">
      <c r="A67" s="1" t="n">
        <v>77</v>
      </c>
      <c r="B67" s="2" t="n">
        <f aca="false">+B66+C66</f>
        <v>83.1499999999999</v>
      </c>
      <c r="C67" s="3" t="n">
        <v>0.6</v>
      </c>
      <c r="D67" s="12" t="n">
        <v>0.03</v>
      </c>
      <c r="E67" s="3" t="n">
        <f aca="false">+B67*D67</f>
        <v>2.4945</v>
      </c>
    </row>
    <row r="68" s="2" customFormat="true" ht="14.25" hidden="false" customHeight="false" outlineLevel="0" collapsed="false">
      <c r="A68" s="1" t="n">
        <v>78</v>
      </c>
      <c r="B68" s="2" t="n">
        <f aca="false">+B67+C67</f>
        <v>83.7499999999999</v>
      </c>
      <c r="C68" s="3" t="n">
        <v>0.6</v>
      </c>
      <c r="D68" s="12" t="n">
        <v>0.03</v>
      </c>
      <c r="E68" s="3" t="n">
        <f aca="false">+B68*D68</f>
        <v>2.5125</v>
      </c>
    </row>
    <row r="69" s="2" customFormat="true" ht="14.25" hidden="false" customHeight="false" outlineLevel="0" collapsed="false">
      <c r="A69" s="1" t="n">
        <v>79</v>
      </c>
      <c r="B69" s="2" t="n">
        <f aca="false">+B68+C68</f>
        <v>84.3499999999999</v>
      </c>
      <c r="C69" s="3" t="n">
        <v>0.6</v>
      </c>
      <c r="D69" s="12" t="n">
        <v>0.03</v>
      </c>
      <c r="E69" s="3" t="n">
        <f aca="false">+B69*D69</f>
        <v>2.5305</v>
      </c>
    </row>
    <row r="70" s="2" customFormat="true" ht="14.25" hidden="false" customHeight="false" outlineLevel="0" collapsed="false">
      <c r="A70" s="1" t="n">
        <v>80</v>
      </c>
      <c r="B70" s="2" t="n">
        <f aca="false">+B69+C69</f>
        <v>84.9499999999999</v>
      </c>
      <c r="C70" s="3" t="n">
        <v>0.6</v>
      </c>
      <c r="D70" s="12" t="n">
        <v>0.03</v>
      </c>
      <c r="E70" s="3" t="n">
        <f aca="false">+B70*D70</f>
        <v>2.5485</v>
      </c>
    </row>
    <row r="71" s="2" customFormat="true" ht="14.25" hidden="false" customHeight="false" outlineLevel="0" collapsed="false">
      <c r="A71" s="1" t="n">
        <v>81</v>
      </c>
      <c r="B71" s="2" t="n">
        <f aca="false">+B70+C70</f>
        <v>85.5499999999999</v>
      </c>
      <c r="C71" s="3" t="n">
        <v>0.6</v>
      </c>
      <c r="D71" s="12" t="n">
        <v>0.03</v>
      </c>
      <c r="E71" s="3" t="n">
        <f aca="false">+B71*D71</f>
        <v>2.5665</v>
      </c>
    </row>
    <row r="72" s="2" customFormat="true" ht="14.25" hidden="false" customHeight="false" outlineLevel="0" collapsed="false">
      <c r="A72" s="1" t="n">
        <v>82</v>
      </c>
      <c r="B72" s="2" t="n">
        <f aca="false">+B71+C71</f>
        <v>86.1499999999998</v>
      </c>
      <c r="C72" s="3" t="n">
        <v>0.6</v>
      </c>
      <c r="D72" s="12" t="n">
        <v>0.03</v>
      </c>
      <c r="E72" s="3" t="n">
        <f aca="false">+B72*D72</f>
        <v>2.5845</v>
      </c>
    </row>
    <row r="73" s="2" customFormat="true" ht="14.25" hidden="false" customHeight="false" outlineLevel="0" collapsed="false">
      <c r="A73" s="1" t="n">
        <v>83</v>
      </c>
      <c r="B73" s="2" t="n">
        <f aca="false">+B72+C72</f>
        <v>86.7499999999999</v>
      </c>
      <c r="C73" s="3" t="n">
        <v>0.6</v>
      </c>
      <c r="D73" s="12" t="n">
        <v>0.03</v>
      </c>
      <c r="E73" s="3" t="n">
        <f aca="false">+B73*D73</f>
        <v>2.6025</v>
      </c>
    </row>
    <row r="74" s="2" customFormat="true" ht="14.25" hidden="false" customHeight="false" outlineLevel="0" collapsed="false">
      <c r="A74" s="1" t="n">
        <v>84</v>
      </c>
      <c r="B74" s="2" t="n">
        <f aca="false">+B73+C73</f>
        <v>87.3499999999998</v>
      </c>
      <c r="C74" s="3" t="n">
        <v>0.6</v>
      </c>
      <c r="D74" s="12" t="n">
        <v>0.03</v>
      </c>
      <c r="E74" s="3" t="n">
        <f aca="false">+B74*D74</f>
        <v>2.62049999999999</v>
      </c>
    </row>
    <row r="75" s="2" customFormat="true" ht="14.25" hidden="false" customHeight="false" outlineLevel="0" collapsed="false">
      <c r="A75" s="1" t="n">
        <v>85</v>
      </c>
      <c r="B75" s="2" t="n">
        <f aca="false">+B74+C74</f>
        <v>87.9499999999998</v>
      </c>
      <c r="C75" s="3" t="n">
        <v>0.6</v>
      </c>
      <c r="D75" s="12" t="n">
        <v>0.03</v>
      </c>
      <c r="E75" s="3" t="n">
        <f aca="false">+B75*D75</f>
        <v>2.63849999999999</v>
      </c>
    </row>
    <row r="76" s="2" customFormat="true" ht="14.25" hidden="false" customHeight="false" outlineLevel="0" collapsed="false">
      <c r="A76" s="1" t="n">
        <v>86</v>
      </c>
      <c r="B76" s="2" t="n">
        <f aca="false">+B75+C75</f>
        <v>88.5499999999998</v>
      </c>
      <c r="C76" s="3" t="n">
        <v>0.6</v>
      </c>
      <c r="D76" s="12" t="n">
        <v>0.03</v>
      </c>
      <c r="E76" s="3" t="n">
        <f aca="false">+B76*D76</f>
        <v>2.65649999999999</v>
      </c>
    </row>
    <row r="77" s="2" customFormat="true" ht="14.25" hidden="false" customHeight="false" outlineLevel="0" collapsed="false">
      <c r="A77" s="1" t="n">
        <v>87</v>
      </c>
      <c r="B77" s="2" t="n">
        <f aca="false">+B76+C76</f>
        <v>89.1499999999998</v>
      </c>
      <c r="C77" s="3" t="n">
        <v>0.65</v>
      </c>
      <c r="D77" s="12" t="n">
        <v>0.03</v>
      </c>
      <c r="E77" s="3" t="n">
        <f aca="false">+B77*D77</f>
        <v>2.67449999999999</v>
      </c>
    </row>
    <row r="78" s="2" customFormat="true" ht="14.25" hidden="false" customHeight="false" outlineLevel="0" collapsed="false">
      <c r="A78" s="1" t="n">
        <v>88</v>
      </c>
      <c r="B78" s="2" t="n">
        <f aca="false">+B77+C77</f>
        <v>89.7999999999998</v>
      </c>
      <c r="C78" s="3" t="n">
        <v>0.65</v>
      </c>
      <c r="D78" s="12" t="n">
        <v>0.03</v>
      </c>
      <c r="E78" s="3" t="n">
        <f aca="false">+B78*D78</f>
        <v>2.69399999999999</v>
      </c>
    </row>
    <row r="79" s="2" customFormat="true" ht="14.25" hidden="false" customHeight="false" outlineLevel="0" collapsed="false">
      <c r="A79" s="1" t="n">
        <v>89</v>
      </c>
      <c r="B79" s="2" t="n">
        <f aca="false">+B78+C78</f>
        <v>90.4499999999998</v>
      </c>
      <c r="C79" s="3" t="n">
        <v>0.65</v>
      </c>
      <c r="D79" s="12" t="n">
        <v>0.03</v>
      </c>
      <c r="E79" s="3" t="n">
        <f aca="false">+B79*D79</f>
        <v>2.71349999999999</v>
      </c>
    </row>
    <row r="80" s="2" customFormat="true" ht="14.25" hidden="false" customHeight="false" outlineLevel="0" collapsed="false">
      <c r="A80" s="1" t="n">
        <v>90</v>
      </c>
      <c r="B80" s="2" t="n">
        <f aca="false">+B79+C79</f>
        <v>91.0999999999998</v>
      </c>
      <c r="C80" s="3" t="n">
        <v>0.65</v>
      </c>
      <c r="D80" s="12" t="n">
        <v>0.03</v>
      </c>
      <c r="E80" s="3" t="n">
        <f aca="false">+B80*D80</f>
        <v>2.733</v>
      </c>
    </row>
    <row r="81" s="2" customFormat="true" ht="14.25" hidden="false" customHeight="false" outlineLevel="0" collapsed="false">
      <c r="A81" s="1" t="n">
        <v>91</v>
      </c>
      <c r="B81" s="2" t="n">
        <f aca="false">+B80+C80</f>
        <v>91.7499999999999</v>
      </c>
      <c r="C81" s="3" t="n">
        <v>0.65</v>
      </c>
      <c r="D81" s="12" t="n">
        <v>0.03</v>
      </c>
      <c r="E81" s="3" t="n">
        <f aca="false">+B81*D81</f>
        <v>2.75249999999999</v>
      </c>
    </row>
    <row r="82" s="2" customFormat="true" ht="14.25" hidden="false" customHeight="false" outlineLevel="0" collapsed="false">
      <c r="A82" s="1" t="n">
        <v>92</v>
      </c>
      <c r="B82" s="2" t="n">
        <f aca="false">+B81+C81</f>
        <v>92.3999999999998</v>
      </c>
      <c r="C82" s="3" t="n">
        <v>0.65</v>
      </c>
      <c r="D82" s="12" t="n">
        <v>0.03</v>
      </c>
      <c r="E82" s="3" t="n">
        <f aca="false">+B82*D82</f>
        <v>2.772</v>
      </c>
    </row>
    <row r="83" s="2" customFormat="true" ht="14.25" hidden="false" customHeight="false" outlineLevel="0" collapsed="false">
      <c r="A83" s="1" t="n">
        <v>93</v>
      </c>
      <c r="B83" s="2" t="n">
        <f aca="false">+B82+C82</f>
        <v>93.0499999999999</v>
      </c>
      <c r="C83" s="3" t="n">
        <v>0.65</v>
      </c>
      <c r="D83" s="12" t="n">
        <v>0.03</v>
      </c>
      <c r="E83" s="3" t="n">
        <f aca="false">+B83*D83</f>
        <v>2.7915</v>
      </c>
    </row>
    <row r="84" s="2" customFormat="true" ht="14.25" hidden="false" customHeight="false" outlineLevel="0" collapsed="false">
      <c r="A84" s="1" t="n">
        <v>94</v>
      </c>
      <c r="B84" s="2" t="n">
        <f aca="false">+B83+C83</f>
        <v>93.6999999999999</v>
      </c>
      <c r="C84" s="3" t="n">
        <v>0.65</v>
      </c>
      <c r="D84" s="12" t="n">
        <v>0.03</v>
      </c>
      <c r="E84" s="3" t="n">
        <f aca="false">+B84*D84</f>
        <v>2.811</v>
      </c>
    </row>
    <row r="85" s="2" customFormat="true" ht="14.25" hidden="false" customHeight="false" outlineLevel="0" collapsed="false">
      <c r="A85" s="1" t="n">
        <v>95</v>
      </c>
      <c r="B85" s="2" t="n">
        <f aca="false">+B84+C84</f>
        <v>94.3499999999999</v>
      </c>
      <c r="C85" s="3" t="n">
        <v>0.65</v>
      </c>
      <c r="D85" s="12" t="n">
        <v>0.03</v>
      </c>
      <c r="E85" s="3" t="n">
        <f aca="false">+B85*D85</f>
        <v>2.8305</v>
      </c>
    </row>
    <row r="86" s="2" customFormat="true" ht="14.25" hidden="false" customHeight="false" outlineLevel="0" collapsed="false">
      <c r="A86" s="1" t="n">
        <v>96</v>
      </c>
      <c r="B86" s="2" t="n">
        <f aca="false">+B85+C85</f>
        <v>94.9999999999999</v>
      </c>
      <c r="C86" s="3" t="n">
        <v>0.65</v>
      </c>
      <c r="D86" s="12" t="n">
        <v>0.03</v>
      </c>
      <c r="E86" s="3" t="n">
        <f aca="false">+B86*D86</f>
        <v>2.85</v>
      </c>
    </row>
    <row r="87" s="2" customFormat="true" ht="14.25" hidden="false" customHeight="false" outlineLevel="0" collapsed="false">
      <c r="A87" s="1" t="n">
        <v>97</v>
      </c>
      <c r="B87" s="2" t="n">
        <f aca="false">+B86+C86</f>
        <v>95.6499999999999</v>
      </c>
      <c r="C87" s="3" t="n">
        <v>0.65</v>
      </c>
      <c r="D87" s="12" t="n">
        <v>0.03</v>
      </c>
      <c r="E87" s="3" t="n">
        <f aca="false">+B87*D87</f>
        <v>2.8695</v>
      </c>
    </row>
    <row r="88" s="2" customFormat="true" ht="14.25" hidden="false" customHeight="false" outlineLevel="0" collapsed="false">
      <c r="A88" s="1" t="n">
        <v>98</v>
      </c>
      <c r="B88" s="2" t="n">
        <f aca="false">+B87+C87</f>
        <v>96.2999999999999</v>
      </c>
      <c r="C88" s="3" t="n">
        <v>0.65</v>
      </c>
      <c r="D88" s="12" t="n">
        <v>0.03</v>
      </c>
      <c r="E88" s="3" t="n">
        <f aca="false">+B88*D88</f>
        <v>2.889</v>
      </c>
    </row>
    <row r="89" s="2" customFormat="true" ht="14.25" hidden="false" customHeight="false" outlineLevel="0" collapsed="false">
      <c r="A89" s="1" t="n">
        <v>99</v>
      </c>
      <c r="B89" s="2" t="n">
        <f aca="false">+B88+C88</f>
        <v>96.9499999999999</v>
      </c>
      <c r="C89" s="3" t="n">
        <v>0.65</v>
      </c>
      <c r="D89" s="12" t="n">
        <v>0.03</v>
      </c>
      <c r="E89" s="3" t="n">
        <f aca="false">+B89*D89</f>
        <v>2.9085</v>
      </c>
    </row>
    <row r="90" s="2" customFormat="true" ht="14.25" hidden="false" customHeight="false" outlineLevel="0" collapsed="false">
      <c r="A90" s="1" t="n">
        <v>100</v>
      </c>
      <c r="B90" s="2" t="n">
        <f aca="false">+B89+C89</f>
        <v>97.5999999999999</v>
      </c>
      <c r="C90" s="3" t="n">
        <v>0.65</v>
      </c>
      <c r="D90" s="12" t="n">
        <v>0.03</v>
      </c>
      <c r="E90" s="3" t="n">
        <f aca="false">+B90*D90</f>
        <v>2.928</v>
      </c>
    </row>
    <row r="91" s="2" customFormat="true" ht="14.25" hidden="false" customHeight="false" outlineLevel="0" collapsed="false">
      <c r="A91" s="1" t="n">
        <v>101</v>
      </c>
      <c r="B91" s="2" t="n">
        <f aca="false">+B90+C90</f>
        <v>98.2499999999999</v>
      </c>
      <c r="C91" s="3" t="n">
        <v>0.65</v>
      </c>
      <c r="D91" s="12" t="n">
        <v>0.03</v>
      </c>
      <c r="E91" s="3" t="n">
        <f aca="false">+B91*D91</f>
        <v>2.9475</v>
      </c>
    </row>
    <row r="92" s="2" customFormat="true" ht="14.25" hidden="false" customHeight="false" outlineLevel="0" collapsed="false">
      <c r="A92" s="1" t="n">
        <v>102</v>
      </c>
      <c r="B92" s="2" t="n">
        <f aca="false">+B91+C91</f>
        <v>98.8999999999999</v>
      </c>
      <c r="C92" s="3" t="n">
        <v>0.65</v>
      </c>
      <c r="D92" s="12" t="n">
        <v>0.03</v>
      </c>
      <c r="E92" s="3" t="n">
        <f aca="false">+B92*D92</f>
        <v>2.967</v>
      </c>
    </row>
    <row r="93" s="2" customFormat="true" ht="14.25" hidden="false" customHeight="false" outlineLevel="0" collapsed="false">
      <c r="A93" s="1" t="n">
        <v>103</v>
      </c>
      <c r="B93" s="2" t="n">
        <f aca="false">+B92+C92</f>
        <v>99.5499999999999</v>
      </c>
      <c r="C93" s="3" t="n">
        <v>0.65</v>
      </c>
      <c r="D93" s="12" t="n">
        <v>0.03</v>
      </c>
      <c r="E93" s="3" t="n">
        <f aca="false">+B93*D93</f>
        <v>2.9865</v>
      </c>
    </row>
    <row r="94" s="2" customFormat="true" ht="14.25" hidden="false" customHeight="false" outlineLevel="0" collapsed="false">
      <c r="A94" s="1" t="n">
        <v>104</v>
      </c>
      <c r="B94" s="2" t="n">
        <f aca="false">+B93+C93</f>
        <v>100.2</v>
      </c>
      <c r="C94" s="3" t="n">
        <v>0.65</v>
      </c>
      <c r="D94" s="12" t="n">
        <v>0.03</v>
      </c>
      <c r="E94" s="3" t="n">
        <f aca="false">+B94*D94</f>
        <v>3.006</v>
      </c>
    </row>
    <row r="95" s="2" customFormat="true" ht="14.25" hidden="false" customHeight="false" outlineLevel="0" collapsed="false">
      <c r="A95" s="1" t="n">
        <v>105</v>
      </c>
      <c r="B95" s="2" t="n">
        <f aca="false">+B94+C94</f>
        <v>100.85</v>
      </c>
      <c r="C95" s="3" t="n">
        <v>0.65</v>
      </c>
      <c r="D95" s="12" t="n">
        <v>0.03</v>
      </c>
      <c r="E95" s="3" t="n">
        <f aca="false">+B95*D95</f>
        <v>3.0255</v>
      </c>
    </row>
    <row r="96" s="2" customFormat="true" ht="14.25" hidden="false" customHeight="false" outlineLevel="0" collapsed="false">
      <c r="A96" s="1" t="n">
        <v>106</v>
      </c>
      <c r="B96" s="2" t="n">
        <f aca="false">+B95+C95</f>
        <v>101.5</v>
      </c>
      <c r="C96" s="3" t="n">
        <v>0.65</v>
      </c>
      <c r="D96" s="12" t="n">
        <v>0.03</v>
      </c>
      <c r="E96" s="3" t="n">
        <f aca="false">+B96*D96</f>
        <v>3.045</v>
      </c>
    </row>
    <row r="97" s="2" customFormat="true" ht="14.25" hidden="false" customHeight="false" outlineLevel="0" collapsed="false">
      <c r="A97" s="1" t="n">
        <v>107</v>
      </c>
      <c r="B97" s="2" t="n">
        <f aca="false">+B96+C96</f>
        <v>102.15</v>
      </c>
      <c r="C97" s="3" t="n">
        <v>0.65</v>
      </c>
      <c r="D97" s="12" t="n">
        <v>0.03</v>
      </c>
      <c r="E97" s="3" t="n">
        <f aca="false">+B97*D97</f>
        <v>3.0645</v>
      </c>
    </row>
    <row r="98" s="2" customFormat="true" ht="14.25" hidden="false" customHeight="false" outlineLevel="0" collapsed="false">
      <c r="A98" s="1" t="n">
        <v>108</v>
      </c>
      <c r="B98" s="2" t="n">
        <f aca="false">+B97+C97</f>
        <v>102.8</v>
      </c>
      <c r="C98" s="3" t="n">
        <v>0.65</v>
      </c>
      <c r="D98" s="12" t="n">
        <v>0.03</v>
      </c>
      <c r="E98" s="3" t="n">
        <f aca="false">+B98*D98</f>
        <v>3.084</v>
      </c>
    </row>
    <row r="99" s="2" customFormat="true" ht="14.25" hidden="false" customHeight="false" outlineLevel="0" collapsed="false">
      <c r="A99" s="1" t="n">
        <v>109</v>
      </c>
      <c r="B99" s="2" t="n">
        <f aca="false">+B98+C98</f>
        <v>103.45</v>
      </c>
      <c r="C99" s="3" t="n">
        <v>0.65</v>
      </c>
      <c r="D99" s="12" t="n">
        <v>0.03</v>
      </c>
      <c r="E99" s="3" t="n">
        <f aca="false">+B99*D99</f>
        <v>3.1035</v>
      </c>
    </row>
    <row r="100" s="2" customFormat="true" ht="14.25" hidden="false" customHeight="false" outlineLevel="0" collapsed="false">
      <c r="A100" s="1" t="n">
        <v>110</v>
      </c>
      <c r="B100" s="2" t="n">
        <f aca="false">+B99+C99</f>
        <v>104.1</v>
      </c>
      <c r="C100" s="3" t="n">
        <v>0.65</v>
      </c>
      <c r="D100" s="12" t="n">
        <v>0.03</v>
      </c>
      <c r="E100" s="3" t="n">
        <f aca="false">+B100*D100</f>
        <v>3.123</v>
      </c>
    </row>
    <row r="101" s="2" customFormat="true" ht="14.25" hidden="false" customHeight="false" outlineLevel="0" collapsed="false">
      <c r="A101" s="1" t="n">
        <v>111</v>
      </c>
      <c r="B101" s="2" t="n">
        <f aca="false">+B100+C100</f>
        <v>104.75</v>
      </c>
      <c r="C101" s="3" t="n">
        <v>0.65</v>
      </c>
      <c r="D101" s="12" t="n">
        <v>0.03</v>
      </c>
      <c r="E101" s="3" t="n">
        <f aca="false">+B101*D101</f>
        <v>3.1425</v>
      </c>
    </row>
    <row r="102" s="2" customFormat="true" ht="14.25" hidden="false" customHeight="false" outlineLevel="0" collapsed="false">
      <c r="A102" s="1" t="n">
        <v>112</v>
      </c>
      <c r="B102" s="2" t="n">
        <f aca="false">+B101+C101</f>
        <v>105.4</v>
      </c>
      <c r="C102" s="3" t="n">
        <v>0.7</v>
      </c>
      <c r="D102" s="12" t="n">
        <v>0.03</v>
      </c>
      <c r="E102" s="3" t="n">
        <f aca="false">+B102*D102</f>
        <v>3.162</v>
      </c>
    </row>
    <row r="103" s="2" customFormat="true" ht="14.25" hidden="false" customHeight="false" outlineLevel="0" collapsed="false">
      <c r="A103" s="1" t="n">
        <v>113</v>
      </c>
      <c r="B103" s="2" t="n">
        <f aca="false">+B102+C102</f>
        <v>106.1</v>
      </c>
      <c r="C103" s="3" t="n">
        <v>0.7</v>
      </c>
      <c r="D103" s="12" t="n">
        <v>0.03</v>
      </c>
      <c r="E103" s="3" t="n">
        <f aca="false">+B103*D103</f>
        <v>3.183</v>
      </c>
    </row>
    <row r="104" s="2" customFormat="true" ht="14.25" hidden="false" customHeight="false" outlineLevel="0" collapsed="false">
      <c r="A104" s="1" t="n">
        <v>114</v>
      </c>
      <c r="B104" s="2" t="n">
        <f aca="false">+B103+C103</f>
        <v>106.8</v>
      </c>
      <c r="C104" s="3" t="n">
        <v>0.7</v>
      </c>
      <c r="D104" s="12" t="n">
        <v>0.03</v>
      </c>
      <c r="E104" s="3" t="n">
        <f aca="false">+B104*D104</f>
        <v>3.204</v>
      </c>
    </row>
    <row r="105" s="2" customFormat="true" ht="14.25" hidden="false" customHeight="false" outlineLevel="0" collapsed="false">
      <c r="A105" s="1" t="n">
        <v>115</v>
      </c>
      <c r="B105" s="2" t="n">
        <f aca="false">+B104+C104</f>
        <v>107.5</v>
      </c>
      <c r="C105" s="3" t="n">
        <v>0.7</v>
      </c>
      <c r="D105" s="12" t="n">
        <v>0.03</v>
      </c>
      <c r="E105" s="3" t="n">
        <f aca="false">+B105*D105</f>
        <v>3.225</v>
      </c>
    </row>
    <row r="106" s="2" customFormat="true" ht="14.25" hidden="false" customHeight="false" outlineLevel="0" collapsed="false">
      <c r="A106" s="1" t="n">
        <v>116</v>
      </c>
      <c r="B106" s="2" t="n">
        <f aca="false">+B105+C105</f>
        <v>108.2</v>
      </c>
      <c r="C106" s="3" t="n">
        <v>0.7</v>
      </c>
      <c r="D106" s="12" t="n">
        <v>0.03</v>
      </c>
      <c r="E106" s="3" t="n">
        <f aca="false">+B106*D106</f>
        <v>3.246</v>
      </c>
    </row>
    <row r="107" s="2" customFormat="true" ht="14.25" hidden="false" customHeight="false" outlineLevel="0" collapsed="false">
      <c r="A107" s="1" t="n">
        <v>117</v>
      </c>
      <c r="B107" s="2" t="n">
        <f aca="false">+B106+C106</f>
        <v>108.9</v>
      </c>
      <c r="C107" s="3" t="n">
        <v>0.7</v>
      </c>
      <c r="D107" s="12" t="n">
        <v>0.03</v>
      </c>
      <c r="E107" s="3" t="n">
        <f aca="false">+B107*D107</f>
        <v>3.267</v>
      </c>
    </row>
    <row r="108" s="2" customFormat="true" ht="14.25" hidden="false" customHeight="false" outlineLevel="0" collapsed="false">
      <c r="A108" s="1" t="n">
        <v>118</v>
      </c>
      <c r="B108" s="2" t="n">
        <f aca="false">+B107+C107</f>
        <v>109.6</v>
      </c>
      <c r="C108" s="3" t="n">
        <v>0.7</v>
      </c>
      <c r="D108" s="12" t="n">
        <v>0.03</v>
      </c>
      <c r="E108" s="3" t="n">
        <f aca="false">+B108*D108</f>
        <v>3.288</v>
      </c>
    </row>
    <row r="109" s="2" customFormat="true" ht="14.25" hidden="false" customHeight="false" outlineLevel="0" collapsed="false">
      <c r="A109" s="1" t="n">
        <v>119</v>
      </c>
      <c r="B109" s="2" t="n">
        <f aca="false">+B108+C108</f>
        <v>110.3</v>
      </c>
      <c r="C109" s="3" t="n">
        <v>0.7</v>
      </c>
      <c r="D109" s="12" t="n">
        <v>0.03</v>
      </c>
      <c r="E109" s="3" t="n">
        <f aca="false">+B109*D109</f>
        <v>3.309</v>
      </c>
    </row>
    <row r="110" s="2" customFormat="true" ht="14.25" hidden="false" customHeight="false" outlineLevel="0" collapsed="false">
      <c r="A110" s="1" t="n">
        <v>120</v>
      </c>
      <c r="B110" s="2" t="n">
        <f aca="false">+B109+C109</f>
        <v>111</v>
      </c>
      <c r="C110" s="3" t="n">
        <v>0.7</v>
      </c>
      <c r="D110" s="12" t="n">
        <v>0.03</v>
      </c>
      <c r="E110" s="3" t="n">
        <f aca="false">+B110*D110</f>
        <v>3.33</v>
      </c>
    </row>
    <row r="111" s="2" customFormat="true" ht="14.25" hidden="false" customHeight="false" outlineLevel="0" collapsed="false">
      <c r="A111" s="1" t="n">
        <v>121</v>
      </c>
      <c r="B111" s="2" t="n">
        <f aca="false">+B110+C110</f>
        <v>111.7</v>
      </c>
      <c r="C111" s="3" t="n">
        <v>0.7</v>
      </c>
      <c r="D111" s="12" t="n">
        <v>0.03</v>
      </c>
      <c r="E111" s="3" t="n">
        <f aca="false">+B111*D111</f>
        <v>3.351</v>
      </c>
    </row>
    <row r="112" s="2" customFormat="true" ht="14.25" hidden="false" customHeight="false" outlineLevel="0" collapsed="false">
      <c r="A112" s="1" t="n">
        <v>122</v>
      </c>
      <c r="B112" s="2" t="n">
        <f aca="false">+B111+C111</f>
        <v>112.4</v>
      </c>
      <c r="C112" s="3" t="n">
        <v>0.7</v>
      </c>
      <c r="D112" s="12" t="n">
        <v>0.03</v>
      </c>
      <c r="E112" s="3" t="n">
        <f aca="false">+B112*D112</f>
        <v>3.372</v>
      </c>
    </row>
    <row r="113" s="2" customFormat="true" ht="14.25" hidden="false" customHeight="false" outlineLevel="0" collapsed="false">
      <c r="A113" s="1" t="n">
        <v>123</v>
      </c>
      <c r="B113" s="2" t="n">
        <f aca="false">+B112+C112</f>
        <v>113.1</v>
      </c>
      <c r="C113" s="3" t="n">
        <v>0.7</v>
      </c>
      <c r="D113" s="12" t="n">
        <v>0.03</v>
      </c>
      <c r="E113" s="3" t="n">
        <f aca="false">+B113*D113</f>
        <v>3.393</v>
      </c>
    </row>
    <row r="114" s="2" customFormat="true" ht="14.25" hidden="false" customHeight="false" outlineLevel="0" collapsed="false">
      <c r="A114" s="1" t="n">
        <v>124</v>
      </c>
      <c r="B114" s="2" t="n">
        <f aca="false">+B113+C113</f>
        <v>113.8</v>
      </c>
      <c r="C114" s="3" t="n">
        <v>0.7</v>
      </c>
      <c r="D114" s="12" t="n">
        <v>0.03</v>
      </c>
      <c r="E114" s="3" t="n">
        <f aca="false">+B114*D114</f>
        <v>3.414</v>
      </c>
    </row>
    <row r="115" s="2" customFormat="true" ht="14.25" hidden="false" customHeight="false" outlineLevel="0" collapsed="false">
      <c r="A115" s="1" t="n">
        <v>125</v>
      </c>
      <c r="B115" s="2" t="n">
        <f aca="false">+B114+C114</f>
        <v>114.5</v>
      </c>
      <c r="C115" s="3" t="n">
        <v>0.7</v>
      </c>
      <c r="D115" s="12" t="n">
        <v>0.03</v>
      </c>
      <c r="E115" s="3" t="n">
        <f aca="false">+B115*D115</f>
        <v>3.435</v>
      </c>
    </row>
    <row r="116" s="2" customFormat="true" ht="14.25" hidden="false" customHeight="false" outlineLevel="0" collapsed="false">
      <c r="A116" s="1" t="n">
        <v>126</v>
      </c>
      <c r="B116" s="2" t="n">
        <f aca="false">+B115+C115</f>
        <v>115.2</v>
      </c>
      <c r="C116" s="3" t="n">
        <v>0.7</v>
      </c>
      <c r="D116" s="12" t="n">
        <v>0.03</v>
      </c>
      <c r="E116" s="3" t="n">
        <f aca="false">+B116*D116</f>
        <v>3.456</v>
      </c>
    </row>
    <row r="117" s="2" customFormat="true" ht="14.25" hidden="false" customHeight="false" outlineLevel="0" collapsed="false">
      <c r="A117" s="1" t="n">
        <v>127</v>
      </c>
      <c r="B117" s="2" t="n">
        <f aca="false">+B116+C116</f>
        <v>115.9</v>
      </c>
      <c r="C117" s="3" t="n">
        <v>0.7</v>
      </c>
      <c r="D117" s="12" t="n">
        <v>0.03</v>
      </c>
      <c r="E117" s="3" t="n">
        <f aca="false">+B117*D117</f>
        <v>3.477</v>
      </c>
    </row>
    <row r="118" s="2" customFormat="true" ht="14.25" hidden="false" customHeight="false" outlineLevel="0" collapsed="false">
      <c r="A118" s="1" t="n">
        <v>128</v>
      </c>
      <c r="B118" s="2" t="n">
        <f aca="false">+B117+C117</f>
        <v>116.6</v>
      </c>
      <c r="C118" s="3" t="n">
        <v>0.7</v>
      </c>
      <c r="D118" s="12" t="n">
        <v>0.03</v>
      </c>
      <c r="E118" s="3" t="n">
        <f aca="false">+B118*D118</f>
        <v>3.498</v>
      </c>
    </row>
    <row r="119" s="2" customFormat="true" ht="14.25" hidden="false" customHeight="false" outlineLevel="0" collapsed="false">
      <c r="A119" s="1" t="n">
        <v>129</v>
      </c>
      <c r="B119" s="2" t="n">
        <f aca="false">+B118+C118</f>
        <v>117.3</v>
      </c>
      <c r="C119" s="3" t="n">
        <v>0.7</v>
      </c>
      <c r="D119" s="12" t="n">
        <v>0.03</v>
      </c>
      <c r="E119" s="3" t="n">
        <f aca="false">+B119*D119</f>
        <v>3.519</v>
      </c>
    </row>
    <row r="120" s="2" customFormat="true" ht="14.25" hidden="false" customHeight="false" outlineLevel="0" collapsed="false">
      <c r="A120" s="1" t="n">
        <v>130</v>
      </c>
      <c r="B120" s="2" t="n">
        <f aca="false">+B119+C119</f>
        <v>118</v>
      </c>
      <c r="C120" s="3" t="n">
        <v>0.7</v>
      </c>
      <c r="D120" s="12" t="n">
        <v>0.03</v>
      </c>
      <c r="E120" s="3" t="n">
        <f aca="false">+B120*D120</f>
        <v>3.54</v>
      </c>
    </row>
    <row r="121" s="2" customFormat="true" ht="14.25" hidden="false" customHeight="false" outlineLevel="0" collapsed="false">
      <c r="A121" s="1" t="n">
        <v>131</v>
      </c>
      <c r="B121" s="2" t="n">
        <f aca="false">+B120+C120</f>
        <v>118.7</v>
      </c>
      <c r="C121" s="3" t="n">
        <v>0.7</v>
      </c>
      <c r="D121" s="12" t="n">
        <v>0.03</v>
      </c>
      <c r="E121" s="3" t="n">
        <f aca="false">+B121*D121</f>
        <v>3.561</v>
      </c>
    </row>
    <row r="122" s="2" customFormat="true" ht="14.25" hidden="false" customHeight="false" outlineLevel="0" collapsed="false">
      <c r="A122" s="1" t="n">
        <v>132</v>
      </c>
      <c r="B122" s="2" t="n">
        <f aca="false">+B121+C121</f>
        <v>119.4</v>
      </c>
      <c r="C122" s="3" t="n">
        <v>0.7</v>
      </c>
      <c r="D122" s="12" t="n">
        <v>0.03</v>
      </c>
      <c r="E122" s="3" t="n">
        <f aca="false">+B122*D122</f>
        <v>3.582</v>
      </c>
    </row>
    <row r="123" s="2" customFormat="true" ht="14.25" hidden="false" customHeight="false" outlineLevel="0" collapsed="false">
      <c r="A123" s="1" t="n">
        <v>133</v>
      </c>
      <c r="B123" s="2" t="n">
        <f aca="false">+B122+C122</f>
        <v>120.1</v>
      </c>
      <c r="C123" s="3" t="n">
        <v>0.7</v>
      </c>
      <c r="D123" s="12" t="n">
        <v>0.03</v>
      </c>
      <c r="E123" s="3" t="n">
        <f aca="false">+B123*D123</f>
        <v>3.603</v>
      </c>
    </row>
    <row r="124" s="2" customFormat="true" ht="14.25" hidden="false" customHeight="false" outlineLevel="0" collapsed="false">
      <c r="A124" s="1" t="n">
        <v>134</v>
      </c>
      <c r="B124" s="2" t="n">
        <f aca="false">+B123+C123</f>
        <v>120.8</v>
      </c>
      <c r="C124" s="3" t="n">
        <v>0.7</v>
      </c>
      <c r="D124" s="12" t="n">
        <v>0.03</v>
      </c>
      <c r="E124" s="3" t="n">
        <f aca="false">+B124*D124</f>
        <v>3.624</v>
      </c>
    </row>
    <row r="125" s="2" customFormat="true" ht="14.25" hidden="false" customHeight="false" outlineLevel="0" collapsed="false">
      <c r="A125" s="1" t="n">
        <v>135</v>
      </c>
      <c r="B125" s="2" t="n">
        <f aca="false">+B124+C124</f>
        <v>121.5</v>
      </c>
      <c r="C125" s="3" t="n">
        <v>0.7</v>
      </c>
      <c r="D125" s="12" t="n">
        <v>0.03</v>
      </c>
      <c r="E125" s="3" t="n">
        <f aca="false">+B125*D125</f>
        <v>3.645</v>
      </c>
    </row>
    <row r="126" s="2" customFormat="true" ht="14.25" hidden="false" customHeight="false" outlineLevel="0" collapsed="false">
      <c r="A126" s="1" t="n">
        <v>136</v>
      </c>
      <c r="B126" s="2" t="n">
        <f aca="false">+B125+C125</f>
        <v>122.2</v>
      </c>
      <c r="C126" s="3" t="n">
        <v>0.7</v>
      </c>
      <c r="D126" s="12" t="n">
        <v>0.03</v>
      </c>
      <c r="E126" s="3" t="n">
        <f aca="false">+B126*D126</f>
        <v>3.666</v>
      </c>
    </row>
    <row r="127" s="2" customFormat="true" ht="14.25" hidden="false" customHeight="false" outlineLevel="0" collapsed="false">
      <c r="A127" s="1" t="n">
        <v>137</v>
      </c>
      <c r="B127" s="2" t="n">
        <f aca="false">+B126+C126</f>
        <v>122.9</v>
      </c>
      <c r="C127" s="3" t="n">
        <v>0.7</v>
      </c>
      <c r="D127" s="12" t="n">
        <v>0.03</v>
      </c>
      <c r="E127" s="3" t="n">
        <f aca="false">+B127*D127</f>
        <v>3.687</v>
      </c>
    </row>
    <row r="128" s="2" customFormat="true" ht="14.25" hidden="false" customHeight="false" outlineLevel="0" collapsed="false">
      <c r="A128" s="1" t="n">
        <v>138</v>
      </c>
      <c r="B128" s="2" t="n">
        <f aca="false">+B127+C127</f>
        <v>123.6</v>
      </c>
      <c r="C128" s="3" t="n">
        <v>0.7</v>
      </c>
      <c r="D128" s="12" t="n">
        <v>0.03</v>
      </c>
      <c r="E128" s="3" t="n">
        <f aca="false">+B128*D128</f>
        <v>3.708</v>
      </c>
    </row>
    <row r="129" s="2" customFormat="true" ht="14.25" hidden="false" customHeight="false" outlineLevel="0" collapsed="false">
      <c r="A129" s="1" t="n">
        <v>139</v>
      </c>
      <c r="B129" s="2" t="n">
        <f aca="false">+B128+C128</f>
        <v>124.3</v>
      </c>
      <c r="C129" s="3" t="n">
        <v>0.7</v>
      </c>
      <c r="D129" s="12" t="n">
        <v>0.03</v>
      </c>
      <c r="E129" s="3" t="n">
        <f aca="false">+B129*D129</f>
        <v>3.729</v>
      </c>
    </row>
    <row r="130" s="2" customFormat="true" ht="14.25" hidden="false" customHeight="false" outlineLevel="0" collapsed="false">
      <c r="A130" s="1" t="n">
        <v>140</v>
      </c>
      <c r="B130" s="2" t="n">
        <f aca="false">+B129+C129</f>
        <v>125</v>
      </c>
      <c r="C130" s="3" t="n">
        <v>0.7</v>
      </c>
      <c r="D130" s="12" t="n">
        <v>0.03</v>
      </c>
      <c r="E130" s="3" t="n">
        <f aca="false">+B130*D130</f>
        <v>3.75</v>
      </c>
    </row>
    <row r="131" s="2" customFormat="true" ht="14.25" hidden="false" customHeight="false" outlineLevel="0" collapsed="false">
      <c r="A131" s="1" t="n">
        <v>141</v>
      </c>
      <c r="B131" s="2" t="n">
        <f aca="false">+B130+C130</f>
        <v>125.7</v>
      </c>
      <c r="C131" s="3" t="n">
        <v>0.7</v>
      </c>
      <c r="D131" s="12" t="n">
        <v>0.03</v>
      </c>
      <c r="E131" s="3" t="n">
        <f aca="false">+B131*D131</f>
        <v>3.771</v>
      </c>
    </row>
    <row r="132" s="2" customFormat="true" ht="14.25" hidden="false" customHeight="false" outlineLevel="0" collapsed="false">
      <c r="A132" s="1" t="n">
        <v>142</v>
      </c>
      <c r="B132" s="2" t="n">
        <f aca="false">+B131+C131</f>
        <v>126.4</v>
      </c>
      <c r="C132" s="3" t="n">
        <v>0.7</v>
      </c>
      <c r="D132" s="12" t="n">
        <v>0.03</v>
      </c>
      <c r="E132" s="3" t="n">
        <f aca="false">+B132*D132</f>
        <v>3.792</v>
      </c>
    </row>
    <row r="133" s="2" customFormat="true" ht="14.25" hidden="false" customHeight="false" outlineLevel="0" collapsed="false">
      <c r="A133" s="1" t="n">
        <v>143</v>
      </c>
      <c r="B133" s="2" t="n">
        <f aca="false">+B132+C132</f>
        <v>127.1</v>
      </c>
      <c r="C133" s="3" t="n">
        <v>0.7</v>
      </c>
      <c r="D133" s="12" t="n">
        <v>0.03</v>
      </c>
      <c r="E133" s="3" t="n">
        <f aca="false">+B133*D133</f>
        <v>3.813</v>
      </c>
    </row>
    <row r="134" s="2" customFormat="true" ht="14.25" hidden="false" customHeight="false" outlineLevel="0" collapsed="false">
      <c r="A134" s="1" t="n">
        <v>144</v>
      </c>
      <c r="B134" s="2" t="n">
        <f aca="false">+B133+C133</f>
        <v>127.8</v>
      </c>
      <c r="C134" s="3" t="n">
        <v>0.7</v>
      </c>
      <c r="D134" s="12" t="n">
        <v>0.03</v>
      </c>
      <c r="E134" s="3" t="n">
        <f aca="false">+B134*D134</f>
        <v>3.834</v>
      </c>
    </row>
    <row r="135" s="2" customFormat="true" ht="14.25" hidden="false" customHeight="false" outlineLevel="0" collapsed="false">
      <c r="A135" s="1" t="n">
        <v>145</v>
      </c>
      <c r="B135" s="2" t="n">
        <f aca="false">+B134+C134</f>
        <v>128.5</v>
      </c>
      <c r="C135" s="3" t="n">
        <v>0.7</v>
      </c>
      <c r="D135" s="12" t="n">
        <v>0.03</v>
      </c>
      <c r="E135" s="3" t="n">
        <f aca="false">+B135*D135</f>
        <v>3.855</v>
      </c>
    </row>
    <row r="136" s="2" customFormat="true" ht="14.25" hidden="false" customHeight="false" outlineLevel="0" collapsed="false">
      <c r="A136" s="1" t="n">
        <v>146</v>
      </c>
      <c r="B136" s="2" t="n">
        <f aca="false">+B135+C135</f>
        <v>129.2</v>
      </c>
      <c r="C136" s="3" t="n">
        <v>0.7</v>
      </c>
      <c r="D136" s="12" t="n">
        <v>0.03</v>
      </c>
      <c r="E136" s="3" t="n">
        <f aca="false">+B136*D136</f>
        <v>3.876</v>
      </c>
    </row>
    <row r="137" s="2" customFormat="true" ht="14.25" hidden="false" customHeight="false" outlineLevel="0" collapsed="false">
      <c r="A137" s="1" t="n">
        <v>147</v>
      </c>
      <c r="B137" s="2" t="n">
        <f aca="false">+B136+C136</f>
        <v>129.9</v>
      </c>
      <c r="C137" s="3" t="n">
        <v>0.7</v>
      </c>
      <c r="D137" s="12" t="n">
        <v>0.03</v>
      </c>
      <c r="E137" s="3" t="n">
        <f aca="false">+B137*D137</f>
        <v>3.897</v>
      </c>
    </row>
    <row r="138" s="2" customFormat="true" ht="14.25" hidden="false" customHeight="false" outlineLevel="0" collapsed="false">
      <c r="A138" s="1" t="n">
        <v>148</v>
      </c>
      <c r="B138" s="2" t="n">
        <f aca="false">+B137+C137</f>
        <v>130.6</v>
      </c>
      <c r="C138" s="3" t="n">
        <v>0.7</v>
      </c>
      <c r="D138" s="12" t="n">
        <v>0.03</v>
      </c>
      <c r="E138" s="3" t="n">
        <f aca="false">+B138*D138</f>
        <v>3.918</v>
      </c>
    </row>
    <row r="139" s="2" customFormat="true" ht="14.25" hidden="false" customHeight="false" outlineLevel="0" collapsed="false">
      <c r="A139" s="1" t="n">
        <v>149</v>
      </c>
      <c r="B139" s="2" t="n">
        <f aca="false">+B138+C138</f>
        <v>131.3</v>
      </c>
      <c r="C139" s="3" t="n">
        <v>0.7</v>
      </c>
      <c r="D139" s="12" t="n">
        <v>0.03</v>
      </c>
      <c r="E139" s="3" t="n">
        <f aca="false">+B139*D139</f>
        <v>3.939</v>
      </c>
    </row>
    <row r="140" s="2" customFormat="true" ht="14.25" hidden="false" customHeight="false" outlineLevel="0" collapsed="false">
      <c r="A140" s="1" t="n">
        <v>150</v>
      </c>
      <c r="B140" s="2" t="n">
        <f aca="false">+B139+C139</f>
        <v>132</v>
      </c>
      <c r="C140" s="3" t="n">
        <v>0.7</v>
      </c>
      <c r="D140" s="12" t="n">
        <v>0.03</v>
      </c>
      <c r="E140" s="3" t="n">
        <f aca="false">+B140*D140</f>
        <v>3.96</v>
      </c>
    </row>
    <row r="141" s="2" customFormat="true" ht="4.5" hidden="false" customHeight="true" outlineLevel="0" collapsed="false">
      <c r="A141" s="1"/>
      <c r="C141" s="3"/>
      <c r="D141" s="12"/>
      <c r="E141" s="3"/>
    </row>
    <row r="142" s="2" customFormat="true" ht="4.5" hidden="false" customHeight="true" outlineLevel="0" collapsed="false">
      <c r="A142" s="16"/>
      <c r="B142" s="17"/>
      <c r="C142" s="18"/>
      <c r="D142" s="16"/>
      <c r="E142" s="18"/>
    </row>
    <row r="143" customFormat="false" ht="14.25" hidden="false" customHeight="false" outlineLevel="0" collapsed="false">
      <c r="D143" s="1" t="s">
        <v>17</v>
      </c>
      <c r="E143" s="3" t="n">
        <f aca="false">SUM(E6:E142)</f>
        <v>355.69</v>
      </c>
    </row>
    <row r="144" customFormat="false" ht="14.25" hidden="false" customHeight="false" outlineLevel="0" collapsed="false">
      <c r="D144" s="1" t="s">
        <v>18</v>
      </c>
      <c r="E144" s="3" t="n">
        <f aca="false">AVERAGE(E6:E140)</f>
        <v>2.63474074074074</v>
      </c>
    </row>
    <row r="145" customFormat="false" ht="14.25" hidden="false" customHeight="false" outlineLevel="0" collapsed="false">
      <c r="H145" s="0" t="s">
        <v>19</v>
      </c>
      <c r="I145" s="19" t="n">
        <f aca="false">19717.5*40+45160</f>
        <v>833860</v>
      </c>
    </row>
    <row r="146" customFormat="false" ht="14.25" hidden="false" customHeight="false" outlineLevel="0" collapsed="false">
      <c r="D146" s="1" t="s">
        <v>8</v>
      </c>
      <c r="E146" s="14" t="n">
        <f aca="false">+I146/1000</f>
        <v>509.36</v>
      </c>
      <c r="H146" s="0" t="s">
        <v>20</v>
      </c>
      <c r="I146" s="19" t="n">
        <f aca="false">464200+45160</f>
        <v>509360</v>
      </c>
    </row>
    <row r="147" customFormat="false" ht="14.25" hidden="false" customHeight="false" outlineLevel="0" collapsed="false">
      <c r="E147" s="14"/>
      <c r="H147" s="0" t="s">
        <v>21</v>
      </c>
      <c r="I147" s="19" t="n">
        <f aca="false">412000+45160</f>
        <v>457160</v>
      </c>
    </row>
    <row r="148" customFormat="false" ht="14.25" hidden="false" customHeight="false" outlineLevel="0" collapsed="false">
      <c r="D148" s="1" t="s">
        <v>9</v>
      </c>
      <c r="E148" s="15" t="n">
        <f aca="false">+E146*E143</f>
        <v>181174.2584</v>
      </c>
      <c r="H148" s="0" t="s">
        <v>22</v>
      </c>
      <c r="I148" s="19" t="n">
        <f aca="false">610300+45160</f>
        <v>655460</v>
      </c>
    </row>
    <row r="149" customFormat="false" ht="14.25" hidden="false" customHeight="false" outlineLevel="0" collapsed="false">
      <c r="D149" s="1" t="s">
        <v>10</v>
      </c>
      <c r="E149" s="14" t="n">
        <f aca="false">+B140-B6</f>
        <v>76.95</v>
      </c>
    </row>
    <row r="150" customFormat="false" ht="14.25" hidden="false" customHeight="false" outlineLevel="0" collapsed="false">
      <c r="D150" s="1" t="s">
        <v>11</v>
      </c>
      <c r="E150" s="15" t="n">
        <v>7000</v>
      </c>
    </row>
    <row r="151" customFormat="false" ht="14.25" hidden="false" customHeight="false" outlineLevel="0" collapsed="false">
      <c r="D151" s="1" t="s">
        <v>12</v>
      </c>
      <c r="E151" s="15" t="n">
        <f aca="false">+E150*E149</f>
        <v>538650</v>
      </c>
    </row>
    <row r="152" customFormat="false" ht="14.25" hidden="false" customHeight="false" outlineLevel="0" collapsed="false">
      <c r="E152" s="14"/>
    </row>
    <row r="153" customFormat="false" ht="14.25" hidden="false" customHeight="false" outlineLevel="0" collapsed="false">
      <c r="D153" s="1" t="s">
        <v>23</v>
      </c>
      <c r="E153" s="15" t="n">
        <f aca="false">+E151-E148</f>
        <v>357475.7416</v>
      </c>
    </row>
    <row r="154" customFormat="false" ht="14.25" hidden="false" customHeight="false" outlineLevel="0" collapsed="false">
      <c r="E154" s="14"/>
    </row>
    <row r="157" customFormat="false" ht="14.25" hidden="false" customHeight="false" outlineLevel="0" collapsed="false">
      <c r="B157" s="20"/>
    </row>
  </sheetData>
  <mergeCells count="6">
    <mergeCell ref="A2:E3"/>
    <mergeCell ref="A4:A5"/>
    <mergeCell ref="B4:B5"/>
    <mergeCell ref="C4:C5"/>
    <mergeCell ref="D4:D5"/>
    <mergeCell ref="E4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1.4"/>
    <col collapsed="false" customWidth="true" hidden="false" outlineLevel="0" max="2" min="2" style="1" width="11.6"/>
    <col collapsed="false" customWidth="true" hidden="false" outlineLevel="0" max="3" min="3" style="1" width="13.33"/>
    <col collapsed="false" customWidth="true" hidden="false" outlineLevel="0" max="4" min="4" style="1" width="15"/>
    <col collapsed="false" customWidth="true" hidden="false" outlineLevel="0" max="5" min="5" style="1" width="12.4"/>
    <col collapsed="false" customWidth="true" hidden="false" outlineLevel="0" max="6" min="6" style="1" width="14.4"/>
    <col collapsed="false" customWidth="true" hidden="false" outlineLevel="0" max="7" min="7" style="1" width="11.4"/>
    <col collapsed="false" customWidth="true" hidden="false" outlineLevel="0" max="8" min="8" style="0" width="15.6"/>
    <col collapsed="false" customWidth="true" hidden="false" outlineLevel="0" max="9" min="9" style="0" width="14"/>
    <col collapsed="false" customWidth="true" hidden="false" outlineLevel="0" max="11" min="11" style="0" width="15.86"/>
    <col collapsed="false" customWidth="true" hidden="false" outlineLevel="0" max="12" min="12" style="0" width="16.6"/>
  </cols>
  <sheetData>
    <row r="2" customFormat="false" ht="14.25" hidden="false" customHeight="false" outlineLevel="0" collapsed="false">
      <c r="A2" s="4" t="s">
        <v>24</v>
      </c>
      <c r="B2" s="4"/>
      <c r="C2" s="4"/>
      <c r="D2" s="4"/>
      <c r="E2" s="4"/>
      <c r="F2" s="4"/>
      <c r="G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4.25" hidden="false" customHeight="false" outlineLevel="0" collapsed="false">
      <c r="A4" s="21" t="s">
        <v>25</v>
      </c>
      <c r="B4" s="22" t="s">
        <v>26</v>
      </c>
      <c r="C4" s="22" t="s">
        <v>27</v>
      </c>
      <c r="D4" s="22"/>
      <c r="E4" s="22" t="s">
        <v>28</v>
      </c>
      <c r="F4" s="22"/>
      <c r="G4" s="5" t="s">
        <v>29</v>
      </c>
      <c r="H4" s="22" t="s">
        <v>30</v>
      </c>
      <c r="I4" s="22"/>
    </row>
    <row r="5" customFormat="false" ht="14.25" hidden="false" customHeight="false" outlineLevel="0" collapsed="false">
      <c r="A5" s="23" t="s">
        <v>31</v>
      </c>
      <c r="B5" s="22"/>
      <c r="C5" s="21" t="s">
        <v>32</v>
      </c>
      <c r="D5" s="21" t="s">
        <v>33</v>
      </c>
      <c r="E5" s="21" t="s">
        <v>32</v>
      </c>
      <c r="F5" s="21" t="s">
        <v>34</v>
      </c>
      <c r="G5" s="5"/>
      <c r="H5" s="21" t="s">
        <v>32</v>
      </c>
      <c r="I5" s="21" t="s">
        <v>33</v>
      </c>
    </row>
    <row r="6" customFormat="false" ht="14.25" hidden="false" customHeight="false" outlineLevel="0" collapsed="false">
      <c r="A6" s="24" t="n">
        <v>1</v>
      </c>
      <c r="B6" s="24"/>
      <c r="C6" s="25" t="n">
        <f aca="false">+HIPER!E22</f>
        <v>20.4925</v>
      </c>
      <c r="D6" s="1" t="n">
        <f aca="false">+C6/MID($D$5,9,2)</f>
        <v>0.8197</v>
      </c>
      <c r="E6" s="25" t="n">
        <f aca="false">+PRECOZ!E143</f>
        <v>355.69</v>
      </c>
      <c r="F6" s="1" t="n">
        <f aca="false">+E6/MID($F$5,9,2)</f>
        <v>11.8563333333333</v>
      </c>
      <c r="G6" s="25" t="n">
        <f aca="false">+C6+E6</f>
        <v>376.1825</v>
      </c>
      <c r="H6" s="25" t="n">
        <v>900</v>
      </c>
      <c r="I6" s="1" t="n">
        <f aca="false">+H6/MID($I$5,9,2)</f>
        <v>36</v>
      </c>
    </row>
    <row r="7" customFormat="false" ht="14.25" hidden="false" customHeight="false" outlineLevel="0" collapsed="false">
      <c r="A7" s="26" t="n">
        <v>230</v>
      </c>
      <c r="B7" s="26"/>
      <c r="C7" s="27" t="n">
        <f aca="false">+A7*C6</f>
        <v>4713.275</v>
      </c>
      <c r="D7" s="1" t="n">
        <f aca="false">+C7/MID($D$5,9,2)</f>
        <v>188.531</v>
      </c>
      <c r="E7" s="27" t="n">
        <f aca="false">+A7*E6</f>
        <v>81808.7</v>
      </c>
      <c r="F7" s="1" t="n">
        <f aca="false">+E7/MID($F$5,9,2)</f>
        <v>2726.95666666666</v>
      </c>
      <c r="G7" s="28" t="n">
        <f aca="false">+C7+E7</f>
        <v>86521.9749999999</v>
      </c>
    </row>
    <row r="8" customFormat="false" ht="14.25" hidden="false" customHeight="false" outlineLevel="0" collapsed="false">
      <c r="A8" s="1" t="s">
        <v>35</v>
      </c>
      <c r="C8" s="2" t="n">
        <f aca="false">+C7/1000</f>
        <v>4.713275</v>
      </c>
      <c r="D8" s="2"/>
      <c r="E8" s="2" t="n">
        <f aca="false">+E7/1000</f>
        <v>81.8087</v>
      </c>
    </row>
    <row r="9" s="29" customFormat="true" ht="15.75" hidden="false" customHeight="false" outlineLevel="0" collapsed="false">
      <c r="D9" s="30"/>
      <c r="F9" s="30"/>
      <c r="G9" s="30"/>
    </row>
    <row r="11" customFormat="false" ht="15.75" hidden="false" customHeight="false" outlineLevel="0" collapsed="false">
      <c r="A11" s="31"/>
      <c r="C11" s="20"/>
      <c r="D11" s="20"/>
      <c r="E11" s="20"/>
      <c r="F11" s="20"/>
      <c r="H11" s="19"/>
      <c r="I11" s="32"/>
    </row>
    <row r="13" customFormat="false" ht="14.25" hidden="false" customHeight="false" outlineLevel="0" collapsed="false">
      <c r="C13" s="33"/>
    </row>
    <row r="14" customFormat="false" ht="14.25" hidden="false" customHeight="false" outlineLevel="0" collapsed="false">
      <c r="C14" s="20"/>
    </row>
    <row r="16" customFormat="false" ht="14.25" hidden="false" customHeight="false" outlineLevel="0" collapsed="false">
      <c r="C16" s="20"/>
      <c r="D16" s="20"/>
      <c r="E16" s="20"/>
      <c r="F16" s="20"/>
      <c r="H16" s="19"/>
      <c r="I16" s="19"/>
    </row>
    <row r="18" customFormat="false" ht="14.25" hidden="false" customHeight="false" outlineLevel="0" collapsed="false">
      <c r="C18" s="33"/>
    </row>
    <row r="19" customFormat="false" ht="14.25" hidden="false" customHeight="false" outlineLevel="0" collapsed="false">
      <c r="C19" s="20"/>
    </row>
  </sheetData>
  <mergeCells count="6">
    <mergeCell ref="A2:G3"/>
    <mergeCell ref="B4:B5"/>
    <mergeCell ref="C4:D4"/>
    <mergeCell ref="E4:F4"/>
    <mergeCell ref="G4:G5"/>
    <mergeCell ref="H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167"/>
  <sheetViews>
    <sheetView showFormulas="false" showGridLines="fals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H24" activeCellId="0" sqref="H24"/>
    </sheetView>
  </sheetViews>
  <sheetFormatPr defaultColWidth="10.5390625" defaultRowHeight="14.25" zeroHeight="false" outlineLevelRow="0" outlineLevelCol="0"/>
  <cols>
    <col collapsed="false" customWidth="true" hidden="false" outlineLevel="0" max="2" min="2" style="0" width="14.33"/>
    <col collapsed="false" customWidth="true" hidden="false" outlineLevel="0" max="3" min="3" style="34" width="13.27"/>
    <col collapsed="false" customWidth="true" hidden="false" outlineLevel="0" max="4" min="4" style="0" width="26"/>
    <col collapsed="false" customWidth="true" hidden="false" outlineLevel="0" max="5" min="5" style="0" width="19.13"/>
    <col collapsed="false" customWidth="true" hidden="false" outlineLevel="0" max="6" min="6" style="0" width="14"/>
    <col collapsed="false" customWidth="true" hidden="false" outlineLevel="0" max="7" min="7" style="0" width="17.27"/>
    <col collapsed="false" customWidth="true" hidden="false" outlineLevel="0" max="8" min="8" style="0" width="14"/>
    <col collapsed="false" customWidth="true" hidden="false" outlineLevel="0" max="9" min="9" style="2" width="16"/>
    <col collapsed="false" customWidth="true" hidden="false" outlineLevel="0" max="10" min="10" style="2" width="17.13"/>
    <col collapsed="false" customWidth="true" hidden="false" outlineLevel="0" max="11" min="11" style="2" width="17.33"/>
    <col collapsed="false" customWidth="true" hidden="false" outlineLevel="0" max="12" min="12" style="0" width="10.72"/>
  </cols>
  <sheetData>
    <row r="2" customFormat="false" ht="14.25" hidden="false" customHeight="false" outlineLevel="0" collapsed="false">
      <c r="A2" s="35" t="s">
        <v>36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customFormat="false" ht="14.25" hidden="false" customHeight="false" outlineLevel="0" collapsed="false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</row>
    <row r="4" customFormat="false" ht="14.25" hidden="false" customHeight="false" outlineLevel="0" collapsed="false">
      <c r="A4" s="36" t="s">
        <v>37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customFormat="false" ht="21" hidden="false" customHeight="false" outlineLevel="0" collapsed="false">
      <c r="A5" s="37"/>
      <c r="B5" s="37"/>
      <c r="C5" s="37"/>
      <c r="D5" s="37"/>
      <c r="E5" s="37"/>
      <c r="F5" s="38" t="s">
        <v>38</v>
      </c>
      <c r="G5" s="38"/>
      <c r="H5" s="38"/>
      <c r="I5" s="39" t="s">
        <v>39</v>
      </c>
      <c r="J5" s="39"/>
      <c r="K5" s="39"/>
    </row>
    <row r="6" customFormat="false" ht="15" hidden="false" customHeight="true" outlineLevel="0" collapsed="false">
      <c r="A6" s="5" t="s">
        <v>1</v>
      </c>
      <c r="B6" s="6" t="s">
        <v>40</v>
      </c>
      <c r="C6" s="40" t="s">
        <v>41</v>
      </c>
      <c r="D6" s="6" t="s">
        <v>3</v>
      </c>
      <c r="E6" s="5" t="s">
        <v>4</v>
      </c>
      <c r="F6" s="6" t="s">
        <v>5</v>
      </c>
      <c r="G6" s="6" t="s">
        <v>42</v>
      </c>
      <c r="H6" s="6" t="s">
        <v>43</v>
      </c>
      <c r="I6" s="41" t="s">
        <v>44</v>
      </c>
      <c r="J6" s="41" t="s">
        <v>45</v>
      </c>
      <c r="K6" s="6" t="s">
        <v>43</v>
      </c>
    </row>
    <row r="7" customFormat="false" ht="14.25" hidden="false" customHeight="false" outlineLevel="0" collapsed="false">
      <c r="A7" s="5"/>
      <c r="B7" s="5"/>
      <c r="C7" s="40"/>
      <c r="D7" s="6"/>
      <c r="E7" s="5"/>
      <c r="F7" s="6"/>
      <c r="G7" s="6"/>
      <c r="H7" s="6"/>
      <c r="I7" s="41"/>
      <c r="J7" s="41"/>
      <c r="K7" s="6"/>
    </row>
    <row r="8" customFormat="false" ht="14.25" hidden="false" customHeight="false" outlineLevel="0" collapsed="false">
      <c r="A8" s="5"/>
      <c r="B8" s="5"/>
      <c r="C8" s="40"/>
      <c r="D8" s="6"/>
      <c r="E8" s="5"/>
      <c r="F8" s="5"/>
      <c r="G8" s="5"/>
      <c r="H8" s="5"/>
      <c r="I8" s="41"/>
      <c r="J8" s="41"/>
      <c r="K8" s="6"/>
    </row>
    <row r="9" customFormat="false" ht="14.25" hidden="false" customHeight="false" outlineLevel="0" collapsed="false">
      <c r="A9" s="42" t="n">
        <v>45952</v>
      </c>
      <c r="B9" s="8" t="n">
        <f aca="false">+HIPER!B6</f>
        <v>55</v>
      </c>
      <c r="C9" s="43"/>
      <c r="D9" s="9" t="n">
        <f aca="false">+HIPER!C6</f>
        <v>-0.1</v>
      </c>
      <c r="E9" s="10" t="n">
        <f aca="false">+HIPER!D6</f>
        <v>0.025</v>
      </c>
      <c r="F9" s="9" t="n">
        <f aca="false">(B9*E9)*C9</f>
        <v>0</v>
      </c>
      <c r="G9" s="9" t="n">
        <f aca="false">+F9</f>
        <v>0</v>
      </c>
      <c r="H9" s="9" t="n">
        <f aca="false">+MROUND(F9/25,0.5)</f>
        <v>0</v>
      </c>
      <c r="I9" s="8"/>
      <c r="J9" s="8"/>
      <c r="K9" s="8"/>
    </row>
    <row r="10" customFormat="false" ht="14.25" hidden="false" customHeight="false" outlineLevel="0" collapsed="false">
      <c r="A10" s="42" t="n">
        <f aca="false">+A9+1</f>
        <v>45953</v>
      </c>
      <c r="B10" s="8" t="n">
        <f aca="false">+B9+D9</f>
        <v>54.9</v>
      </c>
      <c r="C10" s="44" t="n">
        <f aca="false">+C9</f>
        <v>0</v>
      </c>
      <c r="D10" s="9" t="n">
        <f aca="false">+HIPER!C7</f>
        <v>-0.1</v>
      </c>
      <c r="E10" s="10" t="n">
        <f aca="false">+HIPER!D7</f>
        <v>0.025</v>
      </c>
      <c r="F10" s="9" t="n">
        <f aca="false">(B10*E10)*C10</f>
        <v>0</v>
      </c>
      <c r="G10" s="9" t="n">
        <f aca="false">+F10+G9</f>
        <v>0</v>
      </c>
      <c r="H10" s="9" t="n">
        <f aca="false">+MROUND(F10/25,0.5)</f>
        <v>0</v>
      </c>
      <c r="I10" s="8"/>
      <c r="J10" s="8"/>
      <c r="K10" s="8"/>
    </row>
    <row r="11" customFormat="false" ht="14.25" hidden="false" customHeight="false" outlineLevel="0" collapsed="false">
      <c r="A11" s="42" t="n">
        <f aca="false">+A10+1</f>
        <v>45954</v>
      </c>
      <c r="B11" s="8" t="n">
        <f aca="false">+B10+D10</f>
        <v>54.8</v>
      </c>
      <c r="C11" s="44" t="n">
        <f aca="false">+C10</f>
        <v>0</v>
      </c>
      <c r="D11" s="9" t="n">
        <f aca="false">+HIPER!C8</f>
        <v>-0.1</v>
      </c>
      <c r="E11" s="10" t="n">
        <f aca="false">+HIPER!D8</f>
        <v>0.025</v>
      </c>
      <c r="F11" s="9" t="n">
        <f aca="false">(B11*E11)*C11</f>
        <v>0</v>
      </c>
      <c r="G11" s="9" t="n">
        <f aca="false">+F11+G10</f>
        <v>0</v>
      </c>
      <c r="H11" s="9" t="n">
        <f aca="false">+MROUND(F11/25,0.5)</f>
        <v>0</v>
      </c>
      <c r="I11" s="8"/>
      <c r="J11" s="8"/>
      <c r="K11" s="8"/>
    </row>
    <row r="12" customFormat="false" ht="14.25" hidden="false" customHeight="false" outlineLevel="0" collapsed="false">
      <c r="A12" s="42" t="n">
        <f aca="false">+A11+1</f>
        <v>45955</v>
      </c>
      <c r="B12" s="8" t="n">
        <f aca="false">+B11+D11</f>
        <v>54.7</v>
      </c>
      <c r="C12" s="44" t="n">
        <f aca="false">+C11</f>
        <v>0</v>
      </c>
      <c r="D12" s="9" t="n">
        <f aca="false">+HIPER!C9</f>
        <v>-0.1</v>
      </c>
      <c r="E12" s="10" t="n">
        <f aca="false">+HIPER!D9</f>
        <v>0.025</v>
      </c>
      <c r="F12" s="9" t="n">
        <f aca="false">(B12*E12)*C12</f>
        <v>0</v>
      </c>
      <c r="G12" s="9" t="n">
        <f aca="false">+F12+G11</f>
        <v>0</v>
      </c>
      <c r="H12" s="9" t="n">
        <f aca="false">+MROUND(F12/25,0.5)</f>
        <v>0</v>
      </c>
      <c r="I12" s="8"/>
      <c r="J12" s="8"/>
      <c r="K12" s="8"/>
    </row>
    <row r="13" customFormat="false" ht="14.25" hidden="false" customHeight="false" outlineLevel="0" collapsed="false">
      <c r="A13" s="42" t="n">
        <f aca="false">+A12+1</f>
        <v>45956</v>
      </c>
      <c r="B13" s="8" t="n">
        <f aca="false">+B12+D12</f>
        <v>54.6</v>
      </c>
      <c r="C13" s="44" t="n">
        <f aca="false">+C12</f>
        <v>0</v>
      </c>
      <c r="D13" s="9" t="n">
        <f aca="false">+HIPER!C10</f>
        <v>-0.1</v>
      </c>
      <c r="E13" s="10" t="n">
        <f aca="false">+HIPER!D10</f>
        <v>0.025</v>
      </c>
      <c r="F13" s="9" t="n">
        <f aca="false">(B13*E13)*C13</f>
        <v>0</v>
      </c>
      <c r="G13" s="9" t="n">
        <f aca="false">+F13+G12</f>
        <v>0</v>
      </c>
      <c r="H13" s="9" t="n">
        <f aca="false">+MROUND(F13/25,0.5)</f>
        <v>0</v>
      </c>
      <c r="I13" s="8"/>
      <c r="J13" s="8"/>
      <c r="K13" s="8"/>
    </row>
    <row r="14" customFormat="false" ht="14.25" hidden="false" customHeight="false" outlineLevel="0" collapsed="false">
      <c r="A14" s="42" t="n">
        <f aca="false">+A13+1</f>
        <v>45957</v>
      </c>
      <c r="B14" s="8" t="n">
        <f aca="false">+B13+D13</f>
        <v>54.5</v>
      </c>
      <c r="C14" s="44" t="n">
        <f aca="false">+C13</f>
        <v>0</v>
      </c>
      <c r="D14" s="9" t="n">
        <f aca="false">+HIPER!C11</f>
        <v>-0.1</v>
      </c>
      <c r="E14" s="10" t="n">
        <f aca="false">+HIPER!D11</f>
        <v>0.025</v>
      </c>
      <c r="F14" s="9" t="n">
        <f aca="false">(B14*E14)*C14</f>
        <v>0</v>
      </c>
      <c r="G14" s="9" t="n">
        <f aca="false">+F14+G13</f>
        <v>0</v>
      </c>
      <c r="H14" s="9" t="n">
        <f aca="false">+MROUND(F14/25,0.5)</f>
        <v>0</v>
      </c>
      <c r="I14" s="8"/>
      <c r="J14" s="8"/>
      <c r="K14" s="8"/>
    </row>
    <row r="15" customFormat="false" ht="14.25" hidden="false" customHeight="false" outlineLevel="0" collapsed="false">
      <c r="A15" s="42" t="n">
        <f aca="false">+A14+1</f>
        <v>45958</v>
      </c>
      <c r="B15" s="8" t="n">
        <f aca="false">+B14+D14</f>
        <v>54.4</v>
      </c>
      <c r="C15" s="44" t="n">
        <f aca="false">+C14</f>
        <v>0</v>
      </c>
      <c r="D15" s="9" t="n">
        <f aca="false">+HIPER!C12</f>
        <v>-0.1</v>
      </c>
      <c r="E15" s="10" t="n">
        <f aca="false">+HIPER!D12</f>
        <v>0.025</v>
      </c>
      <c r="F15" s="9" t="n">
        <f aca="false">(B15*E15)*C15</f>
        <v>0</v>
      </c>
      <c r="G15" s="9" t="n">
        <f aca="false">+F15+G14</f>
        <v>0</v>
      </c>
      <c r="H15" s="9" t="n">
        <f aca="false">+MROUND(F15/25,0.5)</f>
        <v>0</v>
      </c>
      <c r="I15" s="8"/>
      <c r="J15" s="8"/>
      <c r="K15" s="8"/>
    </row>
    <row r="16" customFormat="false" ht="14.25" hidden="false" customHeight="false" outlineLevel="0" collapsed="false">
      <c r="A16" s="42" t="n">
        <f aca="false">+A15+1</f>
        <v>45959</v>
      </c>
      <c r="B16" s="8" t="n">
        <f aca="false">+B15+D15</f>
        <v>54.3</v>
      </c>
      <c r="C16" s="44" t="n">
        <f aca="false">+C15</f>
        <v>0</v>
      </c>
      <c r="D16" s="9" t="n">
        <f aca="false">+HIPER!C13</f>
        <v>0</v>
      </c>
      <c r="E16" s="10" t="n">
        <f aca="false">+HIPER!D13</f>
        <v>0.025</v>
      </c>
      <c r="F16" s="9" t="n">
        <f aca="false">(B16*E16)*C16</f>
        <v>0</v>
      </c>
      <c r="G16" s="9" t="n">
        <f aca="false">+F16+G15</f>
        <v>0</v>
      </c>
      <c r="H16" s="9" t="n">
        <f aca="false">+MROUND(F16/25,0.5)</f>
        <v>0</v>
      </c>
      <c r="I16" s="8"/>
      <c r="J16" s="8"/>
      <c r="K16" s="8"/>
    </row>
    <row r="17" customFormat="false" ht="14.25" hidden="false" customHeight="false" outlineLevel="0" collapsed="false">
      <c r="A17" s="42" t="n">
        <f aca="false">+A16+1</f>
        <v>45960</v>
      </c>
      <c r="B17" s="8" t="n">
        <f aca="false">+B16+D16</f>
        <v>54.3</v>
      </c>
      <c r="C17" s="44" t="n">
        <f aca="false">+C16</f>
        <v>0</v>
      </c>
      <c r="D17" s="9" t="n">
        <f aca="false">+HIPER!C14</f>
        <v>0.1</v>
      </c>
      <c r="E17" s="10" t="n">
        <f aca="false">+HIPER!D14</f>
        <v>0.025</v>
      </c>
      <c r="F17" s="9" t="n">
        <f aca="false">(B17*E17)*C17</f>
        <v>0</v>
      </c>
      <c r="G17" s="9" t="n">
        <f aca="false">+F17+G16</f>
        <v>0</v>
      </c>
      <c r="H17" s="9" t="n">
        <f aca="false">+MROUND(F17/25,0.5)</f>
        <v>0</v>
      </c>
      <c r="I17" s="8"/>
      <c r="J17" s="8"/>
      <c r="K17" s="8"/>
    </row>
    <row r="18" customFormat="false" ht="14.25" hidden="false" customHeight="false" outlineLevel="0" collapsed="false">
      <c r="A18" s="42" t="n">
        <f aca="false">+A17+1</f>
        <v>45961</v>
      </c>
      <c r="B18" s="8" t="n">
        <f aca="false">+B17+D17</f>
        <v>54.4</v>
      </c>
      <c r="C18" s="44" t="n">
        <f aca="false">+C17</f>
        <v>0</v>
      </c>
      <c r="D18" s="9" t="n">
        <f aca="false">+HIPER!C15</f>
        <v>0.1</v>
      </c>
      <c r="E18" s="10" t="n">
        <f aca="false">+HIPER!D15</f>
        <v>0.025</v>
      </c>
      <c r="F18" s="9" t="n">
        <f aca="false">(B18*E18)*C18</f>
        <v>0</v>
      </c>
      <c r="G18" s="9" t="n">
        <f aca="false">+F18+G17</f>
        <v>0</v>
      </c>
      <c r="H18" s="9" t="n">
        <f aca="false">+MROUND(F18/25,0.5)</f>
        <v>0</v>
      </c>
      <c r="I18" s="8"/>
      <c r="J18" s="8"/>
      <c r="K18" s="8"/>
    </row>
    <row r="19" customFormat="false" ht="14.25" hidden="false" customHeight="false" outlineLevel="0" collapsed="false">
      <c r="A19" s="42" t="n">
        <f aca="false">+A18+1</f>
        <v>45962</v>
      </c>
      <c r="B19" s="8" t="n">
        <f aca="false">+B18+D18</f>
        <v>54.5</v>
      </c>
      <c r="C19" s="44" t="n">
        <f aca="false">+C18</f>
        <v>0</v>
      </c>
      <c r="D19" s="9" t="n">
        <f aca="false">+HIPER!C16</f>
        <v>0.1</v>
      </c>
      <c r="E19" s="10" t="n">
        <f aca="false">+HIPER!D16</f>
        <v>0.025</v>
      </c>
      <c r="F19" s="9" t="n">
        <f aca="false">(B19*E19)*C19</f>
        <v>0</v>
      </c>
      <c r="G19" s="9" t="n">
        <f aca="false">+F19+G18</f>
        <v>0</v>
      </c>
      <c r="H19" s="9" t="n">
        <f aca="false">+MROUND(F19/25,0.5)</f>
        <v>0</v>
      </c>
      <c r="I19" s="8"/>
      <c r="J19" s="8"/>
      <c r="K19" s="8"/>
    </row>
    <row r="20" customFormat="false" ht="14.25" hidden="false" customHeight="false" outlineLevel="0" collapsed="false">
      <c r="A20" s="42" t="n">
        <f aca="false">+A19+1</f>
        <v>45963</v>
      </c>
      <c r="B20" s="8" t="n">
        <f aca="false">+B19+D19</f>
        <v>54.6</v>
      </c>
      <c r="C20" s="44" t="n">
        <f aca="false">+C19</f>
        <v>0</v>
      </c>
      <c r="D20" s="9" t="n">
        <f aca="false">+HIPER!C17</f>
        <v>0.15</v>
      </c>
      <c r="E20" s="10" t="n">
        <f aca="false">+HIPER!D17</f>
        <v>0.025</v>
      </c>
      <c r="F20" s="9" t="n">
        <f aca="false">(B20*E20)*C20</f>
        <v>0</v>
      </c>
      <c r="G20" s="9" t="n">
        <f aca="false">+F20+G19</f>
        <v>0</v>
      </c>
      <c r="H20" s="9" t="n">
        <f aca="false">+MROUND(F20/25,0.5)</f>
        <v>0</v>
      </c>
      <c r="I20" s="8"/>
      <c r="J20" s="8"/>
      <c r="K20" s="8"/>
    </row>
    <row r="21" customFormat="false" ht="14.25" hidden="false" customHeight="false" outlineLevel="0" collapsed="false">
      <c r="A21" s="42" t="n">
        <f aca="false">+A20+1</f>
        <v>45964</v>
      </c>
      <c r="B21" s="8" t="n">
        <f aca="false">+B20+D20</f>
        <v>54.75</v>
      </c>
      <c r="C21" s="44" t="n">
        <f aca="false">+C20</f>
        <v>0</v>
      </c>
      <c r="D21" s="9" t="n">
        <f aca="false">+HIPER!C18</f>
        <v>0.15</v>
      </c>
      <c r="E21" s="10" t="n">
        <f aca="false">+HIPER!D18</f>
        <v>0.025</v>
      </c>
      <c r="F21" s="9" t="n">
        <f aca="false">(B21*E21)*C21</f>
        <v>0</v>
      </c>
      <c r="G21" s="9" t="n">
        <f aca="false">+F21+G20</f>
        <v>0</v>
      </c>
      <c r="H21" s="9" t="n">
        <f aca="false">+MROUND(F21/25,0.5)</f>
        <v>0</v>
      </c>
      <c r="I21" s="8"/>
      <c r="J21" s="8"/>
      <c r="K21" s="8"/>
    </row>
    <row r="22" customFormat="false" ht="14.25" hidden="false" customHeight="false" outlineLevel="0" collapsed="false">
      <c r="A22" s="42" t="n">
        <f aca="false">+A21+1</f>
        <v>45965</v>
      </c>
      <c r="B22" s="8" t="n">
        <f aca="false">+B21+D21</f>
        <v>54.9</v>
      </c>
      <c r="C22" s="44" t="n">
        <f aca="false">+C21</f>
        <v>0</v>
      </c>
      <c r="D22" s="9" t="n">
        <f aca="false">+HIPER!C19</f>
        <v>0.15</v>
      </c>
      <c r="E22" s="10" t="n">
        <f aca="false">+HIPER!D19</f>
        <v>0.025</v>
      </c>
      <c r="F22" s="9" t="n">
        <f aca="false">(B22*E22)*C22</f>
        <v>0</v>
      </c>
      <c r="G22" s="9" t="n">
        <f aca="false">+F22+G21</f>
        <v>0</v>
      </c>
      <c r="H22" s="9" t="n">
        <f aca="false">+MROUND(F22/25,0.5)</f>
        <v>0</v>
      </c>
      <c r="I22" s="8"/>
      <c r="J22" s="8"/>
      <c r="K22" s="8"/>
    </row>
    <row r="23" customFormat="false" ht="14.25" hidden="false" customHeight="false" outlineLevel="0" collapsed="false">
      <c r="A23" s="42" t="n">
        <f aca="false">+A22+1</f>
        <v>45966</v>
      </c>
      <c r="B23" s="8" t="n">
        <f aca="false">+B22+D22</f>
        <v>55.05</v>
      </c>
      <c r="C23" s="44" t="n">
        <f aca="false">+C22</f>
        <v>0</v>
      </c>
      <c r="D23" s="9" t="n">
        <f aca="false">+HIPER!C20</f>
        <v>0.15</v>
      </c>
      <c r="E23" s="10" t="n">
        <f aca="false">+HIPER!D20</f>
        <v>0.025</v>
      </c>
      <c r="F23" s="9" t="n">
        <f aca="false">(B23*E23)*C23</f>
        <v>0</v>
      </c>
      <c r="G23" s="9" t="n">
        <f aca="false">+F23+G22</f>
        <v>0</v>
      </c>
      <c r="H23" s="9" t="n">
        <f aca="false">+MROUND(F23/25,0.5)</f>
        <v>0</v>
      </c>
      <c r="I23" s="8"/>
      <c r="J23" s="8"/>
      <c r="K23" s="8"/>
    </row>
    <row r="24" customFormat="false" ht="14.25" hidden="false" customHeight="false" outlineLevel="0" collapsed="false">
      <c r="A24" s="42" t="n">
        <f aca="false">+A23+1</f>
        <v>45967</v>
      </c>
      <c r="B24" s="8" t="n">
        <f aca="false">+B23+D23</f>
        <v>55.2</v>
      </c>
      <c r="C24" s="44" t="n">
        <f aca="false">+C23</f>
        <v>0</v>
      </c>
      <c r="D24" s="9" t="n">
        <f aca="false">+PRECOZ!C6</f>
        <v>0.25</v>
      </c>
      <c r="E24" s="10" t="n">
        <f aca="false">+PRECOZ!D6</f>
        <v>0.025</v>
      </c>
      <c r="F24" s="45"/>
      <c r="G24" s="45"/>
      <c r="H24" s="45"/>
      <c r="I24" s="8" t="n">
        <f aca="false">+B24*E24*C24</f>
        <v>0</v>
      </c>
      <c r="J24" s="8" t="n">
        <f aca="false">+I24</f>
        <v>0</v>
      </c>
      <c r="K24" s="8" t="n">
        <f aca="false">+MROUND(I24/30,0.5)</f>
        <v>0</v>
      </c>
    </row>
    <row r="25" customFormat="false" ht="14.25" hidden="false" customHeight="false" outlineLevel="0" collapsed="false">
      <c r="A25" s="42" t="n">
        <f aca="false">+A24+1</f>
        <v>45968</v>
      </c>
      <c r="B25" s="8" t="n">
        <f aca="false">+B24+D24</f>
        <v>55.45</v>
      </c>
      <c r="C25" s="44" t="n">
        <f aca="false">+C24</f>
        <v>0</v>
      </c>
      <c r="D25" s="9" t="n">
        <f aca="false">+PRECOZ!C7</f>
        <v>0.25</v>
      </c>
      <c r="E25" s="10" t="n">
        <f aca="false">+PRECOZ!D7</f>
        <v>0.025</v>
      </c>
      <c r="F25" s="45"/>
      <c r="G25" s="45"/>
      <c r="H25" s="45"/>
      <c r="I25" s="8" t="n">
        <f aca="false">+B25*E25*C25</f>
        <v>0</v>
      </c>
      <c r="J25" s="8" t="n">
        <f aca="false">+I25+J24</f>
        <v>0</v>
      </c>
      <c r="K25" s="8" t="n">
        <f aca="false">+MROUND(I25/30,0.5)</f>
        <v>0</v>
      </c>
    </row>
    <row r="26" customFormat="false" ht="14.25" hidden="false" customHeight="false" outlineLevel="0" collapsed="false">
      <c r="A26" s="42" t="n">
        <f aca="false">+A25+1</f>
        <v>45969</v>
      </c>
      <c r="B26" s="8" t="n">
        <f aca="false">+B25+D25</f>
        <v>55.7</v>
      </c>
      <c r="C26" s="44" t="n">
        <f aca="false">+C25</f>
        <v>0</v>
      </c>
      <c r="D26" s="9" t="n">
        <f aca="false">+PRECOZ!C8</f>
        <v>0.25</v>
      </c>
      <c r="E26" s="10" t="n">
        <f aca="false">+PRECOZ!D8</f>
        <v>0.025</v>
      </c>
      <c r="F26" s="45"/>
      <c r="G26" s="45"/>
      <c r="H26" s="45"/>
      <c r="I26" s="8" t="n">
        <f aca="false">+B26*E26*C26</f>
        <v>0</v>
      </c>
      <c r="J26" s="8" t="n">
        <f aca="false">+I26+J25</f>
        <v>0</v>
      </c>
      <c r="K26" s="8" t="n">
        <f aca="false">+MROUND(I26/30,0.5)</f>
        <v>0</v>
      </c>
    </row>
    <row r="27" customFormat="false" ht="14.25" hidden="false" customHeight="false" outlineLevel="0" collapsed="false">
      <c r="A27" s="42" t="n">
        <f aca="false">+A26+1</f>
        <v>45970</v>
      </c>
      <c r="B27" s="8" t="n">
        <f aca="false">+B26+D26</f>
        <v>55.95</v>
      </c>
      <c r="C27" s="44" t="n">
        <f aca="false">+C26</f>
        <v>0</v>
      </c>
      <c r="D27" s="9" t="n">
        <f aca="false">+PRECOZ!C9</f>
        <v>0.3</v>
      </c>
      <c r="E27" s="10" t="n">
        <f aca="false">+PRECOZ!D9</f>
        <v>0.025</v>
      </c>
      <c r="F27" s="45"/>
      <c r="G27" s="45"/>
      <c r="H27" s="45"/>
      <c r="I27" s="8" t="n">
        <f aca="false">+B27*E27*C27</f>
        <v>0</v>
      </c>
      <c r="J27" s="8" t="n">
        <f aca="false">+I27+J26</f>
        <v>0</v>
      </c>
      <c r="K27" s="8" t="n">
        <f aca="false">+MROUND(I27/30,0.5)</f>
        <v>0</v>
      </c>
    </row>
    <row r="28" customFormat="false" ht="14.25" hidden="false" customHeight="false" outlineLevel="0" collapsed="false">
      <c r="A28" s="42" t="n">
        <f aca="false">+A27+1</f>
        <v>45971</v>
      </c>
      <c r="B28" s="8" t="n">
        <f aca="false">+B27+D27</f>
        <v>56.25</v>
      </c>
      <c r="C28" s="44" t="n">
        <f aca="false">+C27</f>
        <v>0</v>
      </c>
      <c r="D28" s="9" t="n">
        <f aca="false">+PRECOZ!C10</f>
        <v>0.3</v>
      </c>
      <c r="E28" s="10" t="n">
        <f aca="false">+PRECOZ!D10</f>
        <v>0.025</v>
      </c>
      <c r="F28" s="45"/>
      <c r="G28" s="45"/>
      <c r="H28" s="45"/>
      <c r="I28" s="8" t="n">
        <f aca="false">+B28*E28*C28</f>
        <v>0</v>
      </c>
      <c r="J28" s="8" t="n">
        <f aca="false">+I28+J27</f>
        <v>0</v>
      </c>
      <c r="K28" s="8" t="n">
        <f aca="false">+MROUND(I28/30,0.5)</f>
        <v>0</v>
      </c>
    </row>
    <row r="29" customFormat="false" ht="14.25" hidden="false" customHeight="false" outlineLevel="0" collapsed="false">
      <c r="A29" s="42" t="n">
        <f aca="false">+A28+1</f>
        <v>45972</v>
      </c>
      <c r="B29" s="8" t="n">
        <f aca="false">+B28+D28</f>
        <v>56.55</v>
      </c>
      <c r="C29" s="44" t="n">
        <f aca="false">+C28</f>
        <v>0</v>
      </c>
      <c r="D29" s="9" t="n">
        <f aca="false">+PRECOZ!C11</f>
        <v>0.3</v>
      </c>
      <c r="E29" s="10" t="n">
        <f aca="false">+PRECOZ!D11</f>
        <v>0.025</v>
      </c>
      <c r="F29" s="45"/>
      <c r="G29" s="45"/>
      <c r="H29" s="45"/>
      <c r="I29" s="8" t="n">
        <f aca="false">+B29*E29*C29</f>
        <v>0</v>
      </c>
      <c r="J29" s="8" t="n">
        <f aca="false">+I29+J28</f>
        <v>0</v>
      </c>
      <c r="K29" s="8" t="n">
        <f aca="false">+MROUND(I29/30,0.5)</f>
        <v>0</v>
      </c>
    </row>
    <row r="30" customFormat="false" ht="14.25" hidden="false" customHeight="false" outlineLevel="0" collapsed="false">
      <c r="A30" s="42" t="n">
        <f aca="false">+A29+1</f>
        <v>45973</v>
      </c>
      <c r="B30" s="8" t="n">
        <f aca="false">+B29+D29</f>
        <v>56.85</v>
      </c>
      <c r="C30" s="44" t="n">
        <f aca="false">+C29</f>
        <v>0</v>
      </c>
      <c r="D30" s="9" t="n">
        <f aca="false">+PRECOZ!C12</f>
        <v>0.3</v>
      </c>
      <c r="E30" s="10" t="n">
        <f aca="false">+PRECOZ!D12</f>
        <v>0.025</v>
      </c>
      <c r="F30" s="45"/>
      <c r="G30" s="45"/>
      <c r="H30" s="45"/>
      <c r="I30" s="8" t="n">
        <f aca="false">+B30*E30*C30</f>
        <v>0</v>
      </c>
      <c r="J30" s="8" t="n">
        <f aca="false">+I30+J29</f>
        <v>0</v>
      </c>
      <c r="K30" s="8" t="n">
        <f aca="false">+MROUND(I30/30,0.5)</f>
        <v>0</v>
      </c>
    </row>
    <row r="31" customFormat="false" ht="14.25" hidden="false" customHeight="false" outlineLevel="0" collapsed="false">
      <c r="A31" s="42" t="n">
        <f aca="false">+A30+1</f>
        <v>45974</v>
      </c>
      <c r="B31" s="8" t="n">
        <f aca="false">+B30+D30</f>
        <v>57.15</v>
      </c>
      <c r="C31" s="44" t="n">
        <f aca="false">+C30</f>
        <v>0</v>
      </c>
      <c r="D31" s="9" t="n">
        <f aca="false">+PRECOZ!C13</f>
        <v>0.3</v>
      </c>
      <c r="E31" s="10" t="n">
        <f aca="false">+PRECOZ!D13</f>
        <v>0.025</v>
      </c>
      <c r="F31" s="45"/>
      <c r="G31" s="45"/>
      <c r="H31" s="45"/>
      <c r="I31" s="8" t="n">
        <f aca="false">+B31*E31*C31</f>
        <v>0</v>
      </c>
      <c r="J31" s="8" t="n">
        <f aca="false">+I31+J30</f>
        <v>0</v>
      </c>
      <c r="K31" s="8" t="n">
        <f aca="false">+MROUND(I31/30,0.5)</f>
        <v>0</v>
      </c>
    </row>
    <row r="32" customFormat="false" ht="14.25" hidden="false" customHeight="false" outlineLevel="0" collapsed="false">
      <c r="A32" s="42" t="n">
        <f aca="false">+A31+1</f>
        <v>45975</v>
      </c>
      <c r="B32" s="8" t="n">
        <f aca="false">+B31+D31</f>
        <v>57.45</v>
      </c>
      <c r="C32" s="44" t="n">
        <f aca="false">+C31</f>
        <v>0</v>
      </c>
      <c r="D32" s="9" t="n">
        <f aca="false">+PRECOZ!C14</f>
        <v>0.3</v>
      </c>
      <c r="E32" s="10" t="n">
        <f aca="false">+PRECOZ!D14</f>
        <v>0.025</v>
      </c>
      <c r="F32" s="45"/>
      <c r="G32" s="45"/>
      <c r="H32" s="45"/>
      <c r="I32" s="8" t="n">
        <f aca="false">+B32*E32*C32</f>
        <v>0</v>
      </c>
      <c r="J32" s="8" t="n">
        <f aca="false">+I32+J31</f>
        <v>0</v>
      </c>
      <c r="K32" s="8" t="n">
        <f aca="false">+MROUND(I32/30,0.5)</f>
        <v>0</v>
      </c>
    </row>
    <row r="33" customFormat="false" ht="14.25" hidden="false" customHeight="false" outlineLevel="0" collapsed="false">
      <c r="A33" s="42" t="n">
        <f aca="false">+A32+1</f>
        <v>45976</v>
      </c>
      <c r="B33" s="8" t="n">
        <f aca="false">+B32+D32</f>
        <v>57.75</v>
      </c>
      <c r="C33" s="44" t="n">
        <f aca="false">+C32</f>
        <v>0</v>
      </c>
      <c r="D33" s="9" t="n">
        <f aca="false">+PRECOZ!C15</f>
        <v>0.3</v>
      </c>
      <c r="E33" s="10" t="n">
        <f aca="false">+PRECOZ!D15</f>
        <v>0.025</v>
      </c>
      <c r="F33" s="45"/>
      <c r="G33" s="45"/>
      <c r="H33" s="45"/>
      <c r="I33" s="8" t="n">
        <f aca="false">+B33*E33*C33</f>
        <v>0</v>
      </c>
      <c r="J33" s="8" t="n">
        <f aca="false">+I33+J32</f>
        <v>0</v>
      </c>
      <c r="K33" s="8" t="n">
        <f aca="false">+MROUND(I33/30,0.5)</f>
        <v>0</v>
      </c>
    </row>
    <row r="34" customFormat="false" ht="14.25" hidden="false" customHeight="false" outlineLevel="0" collapsed="false">
      <c r="A34" s="42" t="n">
        <f aca="false">+A33+1</f>
        <v>45977</v>
      </c>
      <c r="B34" s="8" t="n">
        <f aca="false">+B33+D33</f>
        <v>58.05</v>
      </c>
      <c r="C34" s="44" t="n">
        <f aca="false">+C33</f>
        <v>0</v>
      </c>
      <c r="D34" s="9" t="n">
        <f aca="false">+PRECOZ!C16</f>
        <v>0.4</v>
      </c>
      <c r="E34" s="10" t="n">
        <f aca="false">+PRECOZ!D16</f>
        <v>0.025</v>
      </c>
      <c r="F34" s="45"/>
      <c r="G34" s="45"/>
      <c r="H34" s="45"/>
      <c r="I34" s="8" t="n">
        <f aca="false">+B34*E34*C34</f>
        <v>0</v>
      </c>
      <c r="J34" s="8" t="n">
        <f aca="false">+I34+J33</f>
        <v>0</v>
      </c>
      <c r="K34" s="8" t="n">
        <f aca="false">+MROUND(I34/30,0.5)</f>
        <v>0</v>
      </c>
    </row>
    <row r="35" customFormat="false" ht="14.25" hidden="false" customHeight="false" outlineLevel="0" collapsed="false">
      <c r="A35" s="42" t="n">
        <f aca="false">+A34+1</f>
        <v>45978</v>
      </c>
      <c r="B35" s="8" t="n">
        <f aca="false">+B34+D34</f>
        <v>58.45</v>
      </c>
      <c r="C35" s="44" t="n">
        <f aca="false">+C34</f>
        <v>0</v>
      </c>
      <c r="D35" s="9" t="n">
        <f aca="false">+PRECOZ!C17</f>
        <v>0.4</v>
      </c>
      <c r="E35" s="10" t="n">
        <f aca="false">+PRECOZ!D17</f>
        <v>0.025</v>
      </c>
      <c r="F35" s="45"/>
      <c r="G35" s="45"/>
      <c r="H35" s="45"/>
      <c r="I35" s="8" t="n">
        <f aca="false">+B35*E35*C35</f>
        <v>0</v>
      </c>
      <c r="J35" s="8" t="n">
        <f aca="false">+I35+J34</f>
        <v>0</v>
      </c>
      <c r="K35" s="8" t="n">
        <f aca="false">+MROUND(I35/30,0.5)</f>
        <v>0</v>
      </c>
    </row>
    <row r="36" customFormat="false" ht="14.25" hidden="false" customHeight="false" outlineLevel="0" collapsed="false">
      <c r="A36" s="42" t="n">
        <f aca="false">+A35+1</f>
        <v>45979</v>
      </c>
      <c r="B36" s="8" t="n">
        <f aca="false">+B35+D35</f>
        <v>58.85</v>
      </c>
      <c r="C36" s="44"/>
      <c r="D36" s="9" t="n">
        <f aca="false">+PRECOZ!C18</f>
        <v>0.4</v>
      </c>
      <c r="E36" s="10" t="n">
        <f aca="false">+PRECOZ!D18</f>
        <v>0.025</v>
      </c>
      <c r="F36" s="45"/>
      <c r="G36" s="45"/>
      <c r="H36" s="45"/>
      <c r="I36" s="8" t="n">
        <f aca="false">+B36*E36*C36</f>
        <v>0</v>
      </c>
      <c r="J36" s="8" t="n">
        <f aca="false">+I36+J35</f>
        <v>0</v>
      </c>
      <c r="K36" s="8" t="n">
        <f aca="false">+MROUND(I36/30,0.5)</f>
        <v>0</v>
      </c>
    </row>
    <row r="37" customFormat="false" ht="14.25" hidden="false" customHeight="false" outlineLevel="0" collapsed="false">
      <c r="A37" s="42" t="n">
        <f aca="false">+A36+1</f>
        <v>45980</v>
      </c>
      <c r="B37" s="8" t="n">
        <f aca="false">+B36+D36</f>
        <v>59.25</v>
      </c>
      <c r="C37" s="44" t="n">
        <f aca="false">+RESUMEN!A7</f>
        <v>230</v>
      </c>
      <c r="D37" s="9" t="n">
        <f aca="false">+PRECOZ!C19</f>
        <v>0.4</v>
      </c>
      <c r="E37" s="10" t="n">
        <f aca="false">+PRECOZ!D19</f>
        <v>0.025</v>
      </c>
      <c r="F37" s="45"/>
      <c r="G37" s="45"/>
      <c r="H37" s="45"/>
      <c r="I37" s="8" t="n">
        <f aca="false">+B37*E37*C37</f>
        <v>340.6875</v>
      </c>
      <c r="J37" s="8" t="n">
        <f aca="false">+I37+J36</f>
        <v>340.6875</v>
      </c>
      <c r="K37" s="8" t="n">
        <f aca="false">+MROUND(I37/30,0.5)</f>
        <v>11.5</v>
      </c>
    </row>
    <row r="38" customFormat="false" ht="14.25" hidden="false" customHeight="false" outlineLevel="0" collapsed="false">
      <c r="A38" s="42" t="n">
        <f aca="false">+A37+1</f>
        <v>45981</v>
      </c>
      <c r="B38" s="8" t="n">
        <f aca="false">+B37+D37</f>
        <v>59.65</v>
      </c>
      <c r="C38" s="44" t="n">
        <f aca="false">+C37</f>
        <v>230</v>
      </c>
      <c r="D38" s="9" t="n">
        <f aca="false">+PRECOZ!C20</f>
        <v>0.4</v>
      </c>
      <c r="E38" s="10" t="n">
        <f aca="false">+PRECOZ!D20</f>
        <v>0.025</v>
      </c>
      <c r="F38" s="45"/>
      <c r="G38" s="45"/>
      <c r="H38" s="45"/>
      <c r="I38" s="8" t="n">
        <f aca="false">+B38*E38*C38</f>
        <v>342.9875</v>
      </c>
      <c r="J38" s="8" t="n">
        <f aca="false">+I38+J37</f>
        <v>683.675</v>
      </c>
      <c r="K38" s="8" t="n">
        <f aca="false">+MROUND(I38/30,0.5)</f>
        <v>11.5</v>
      </c>
    </row>
    <row r="39" customFormat="false" ht="14.25" hidden="false" customHeight="false" outlineLevel="0" collapsed="false">
      <c r="A39" s="42" t="n">
        <f aca="false">+A38+1</f>
        <v>45982</v>
      </c>
      <c r="B39" s="8" t="n">
        <f aca="false">+B38+D38</f>
        <v>60.05</v>
      </c>
      <c r="C39" s="44" t="n">
        <f aca="false">+C38</f>
        <v>230</v>
      </c>
      <c r="D39" s="9" t="n">
        <f aca="false">+PRECOZ!C21</f>
        <v>0.4</v>
      </c>
      <c r="E39" s="10" t="n">
        <f aca="false">+PRECOZ!D21</f>
        <v>0.03</v>
      </c>
      <c r="F39" s="45"/>
      <c r="G39" s="45"/>
      <c r="H39" s="45"/>
      <c r="I39" s="8" t="n">
        <f aca="false">+B39*E39*C39</f>
        <v>414.345</v>
      </c>
      <c r="J39" s="8" t="n">
        <f aca="false">+I39+J38</f>
        <v>1098.02</v>
      </c>
      <c r="K39" s="8" t="n">
        <f aca="false">+MROUND(I39/30,0.5)</f>
        <v>14</v>
      </c>
    </row>
    <row r="40" customFormat="false" ht="14.25" hidden="false" customHeight="false" outlineLevel="0" collapsed="false">
      <c r="A40" s="42" t="n">
        <f aca="false">+A39+1</f>
        <v>45983</v>
      </c>
      <c r="B40" s="8" t="n">
        <f aca="false">+B39+D39</f>
        <v>60.45</v>
      </c>
      <c r="C40" s="44" t="n">
        <f aca="false">+C39</f>
        <v>230</v>
      </c>
      <c r="D40" s="9" t="n">
        <f aca="false">+PRECOZ!C22</f>
        <v>0.4</v>
      </c>
      <c r="E40" s="10" t="n">
        <f aca="false">+PRECOZ!D22</f>
        <v>0.03</v>
      </c>
      <c r="F40" s="45"/>
      <c r="G40" s="45"/>
      <c r="H40" s="45"/>
      <c r="I40" s="8" t="n">
        <f aca="false">+B40*E40*C40</f>
        <v>417.105</v>
      </c>
      <c r="J40" s="8" t="n">
        <f aca="false">+I40+J39</f>
        <v>1515.125</v>
      </c>
      <c r="K40" s="8" t="n">
        <f aca="false">+MROUND(I40/30,0.5)</f>
        <v>14</v>
      </c>
    </row>
    <row r="41" customFormat="false" ht="14.25" hidden="false" customHeight="false" outlineLevel="0" collapsed="false">
      <c r="A41" s="42" t="n">
        <f aca="false">+A40+1</f>
        <v>45984</v>
      </c>
      <c r="B41" s="8" t="n">
        <f aca="false">+B40+D40</f>
        <v>60.85</v>
      </c>
      <c r="C41" s="44" t="n">
        <f aca="false">+C40</f>
        <v>230</v>
      </c>
      <c r="D41" s="9" t="n">
        <f aca="false">+PRECOZ!C23</f>
        <v>0.4</v>
      </c>
      <c r="E41" s="10" t="n">
        <f aca="false">+PRECOZ!D23</f>
        <v>0.03</v>
      </c>
      <c r="F41" s="45"/>
      <c r="G41" s="45"/>
      <c r="H41" s="45"/>
      <c r="I41" s="8" t="n">
        <f aca="false">+B41*E41*C41</f>
        <v>419.865</v>
      </c>
      <c r="J41" s="8" t="n">
        <f aca="false">+I41+J40</f>
        <v>1934.99</v>
      </c>
      <c r="K41" s="8" t="n">
        <f aca="false">+MROUND(I41/30,0.5)</f>
        <v>14</v>
      </c>
    </row>
    <row r="42" customFormat="false" ht="14.25" hidden="false" customHeight="false" outlineLevel="0" collapsed="false">
      <c r="A42" s="42" t="n">
        <f aca="false">+A41+1</f>
        <v>45985</v>
      </c>
      <c r="B42" s="8" t="n">
        <f aca="false">+B41+D41</f>
        <v>61.25</v>
      </c>
      <c r="C42" s="44" t="n">
        <f aca="false">+C41</f>
        <v>230</v>
      </c>
      <c r="D42" s="9" t="n">
        <f aca="false">+PRECOZ!C24</f>
        <v>0.4</v>
      </c>
      <c r="E42" s="10" t="n">
        <f aca="false">+PRECOZ!D24</f>
        <v>0.03</v>
      </c>
      <c r="F42" s="45"/>
      <c r="G42" s="45"/>
      <c r="H42" s="45"/>
      <c r="I42" s="8" t="n">
        <f aca="false">+B42*E42*C42</f>
        <v>422.625</v>
      </c>
      <c r="J42" s="8" t="n">
        <f aca="false">+I42+J41</f>
        <v>2357.615</v>
      </c>
      <c r="K42" s="8" t="n">
        <f aca="false">+MROUND(I42/30,0.5)</f>
        <v>14</v>
      </c>
    </row>
    <row r="43" customFormat="false" ht="14.25" hidden="false" customHeight="false" outlineLevel="0" collapsed="false">
      <c r="A43" s="42" t="n">
        <f aca="false">+A42+1</f>
        <v>45986</v>
      </c>
      <c r="B43" s="8" t="n">
        <f aca="false">+B42+D42</f>
        <v>61.65</v>
      </c>
      <c r="C43" s="44" t="n">
        <f aca="false">+C42</f>
        <v>230</v>
      </c>
      <c r="D43" s="9" t="n">
        <f aca="false">+PRECOZ!C25</f>
        <v>0.4</v>
      </c>
      <c r="E43" s="10" t="n">
        <f aca="false">+PRECOZ!D25</f>
        <v>0.03</v>
      </c>
      <c r="F43" s="45"/>
      <c r="G43" s="45"/>
      <c r="H43" s="45"/>
      <c r="I43" s="8" t="n">
        <f aca="false">+B43*E43*C43</f>
        <v>425.385</v>
      </c>
      <c r="J43" s="8" t="n">
        <f aca="false">+I43+J42</f>
        <v>2783</v>
      </c>
      <c r="K43" s="8" t="n">
        <f aca="false">+MROUND(I43/30,0.5)</f>
        <v>14</v>
      </c>
    </row>
    <row r="44" customFormat="false" ht="14.25" hidden="false" customHeight="false" outlineLevel="0" collapsed="false">
      <c r="A44" s="42" t="n">
        <f aca="false">+A43+1</f>
        <v>45987</v>
      </c>
      <c r="B44" s="8" t="n">
        <f aca="false">+B43+D43</f>
        <v>62.05</v>
      </c>
      <c r="C44" s="44" t="n">
        <f aca="false">+C43</f>
        <v>230</v>
      </c>
      <c r="D44" s="9" t="n">
        <f aca="false">+PRECOZ!C26</f>
        <v>0.4</v>
      </c>
      <c r="E44" s="10" t="n">
        <f aca="false">+PRECOZ!D26</f>
        <v>0.03</v>
      </c>
      <c r="F44" s="45"/>
      <c r="G44" s="45"/>
      <c r="H44" s="45"/>
      <c r="I44" s="8" t="n">
        <f aca="false">+B44*E44*C44</f>
        <v>428.145</v>
      </c>
      <c r="J44" s="8" t="n">
        <f aca="false">+I44+J43</f>
        <v>3211.145</v>
      </c>
      <c r="K44" s="8" t="n">
        <f aca="false">+MROUND(I44/30,0.5)</f>
        <v>14.5</v>
      </c>
    </row>
    <row r="45" customFormat="false" ht="14.25" hidden="false" customHeight="false" outlineLevel="0" collapsed="false">
      <c r="A45" s="42" t="n">
        <f aca="false">+A44+1</f>
        <v>45988</v>
      </c>
      <c r="B45" s="8" t="n">
        <f aca="false">+B44+D44</f>
        <v>62.45</v>
      </c>
      <c r="C45" s="44" t="n">
        <f aca="false">+C44</f>
        <v>230</v>
      </c>
      <c r="D45" s="9" t="n">
        <f aca="false">+PRECOZ!C27</f>
        <v>0.4</v>
      </c>
      <c r="E45" s="10" t="n">
        <f aca="false">+PRECOZ!D27</f>
        <v>0.03</v>
      </c>
      <c r="F45" s="45"/>
      <c r="G45" s="45"/>
      <c r="H45" s="45"/>
      <c r="I45" s="8" t="n">
        <f aca="false">+B45*E45*C45</f>
        <v>430.905</v>
      </c>
      <c r="J45" s="8" t="n">
        <f aca="false">+I45+J44</f>
        <v>3642.05</v>
      </c>
      <c r="K45" s="8" t="n">
        <f aca="false">+MROUND(I45/30,0.5)</f>
        <v>14.5</v>
      </c>
    </row>
    <row r="46" customFormat="false" ht="14.25" hidden="false" customHeight="false" outlineLevel="0" collapsed="false">
      <c r="A46" s="42" t="n">
        <f aca="false">+A45+1</f>
        <v>45989</v>
      </c>
      <c r="B46" s="8" t="n">
        <f aca="false">+B45+D45</f>
        <v>62.85</v>
      </c>
      <c r="C46" s="44" t="n">
        <f aca="false">+C45</f>
        <v>230</v>
      </c>
      <c r="D46" s="9" t="n">
        <f aca="false">+PRECOZ!C28</f>
        <v>0.4</v>
      </c>
      <c r="E46" s="10" t="n">
        <f aca="false">+PRECOZ!D28</f>
        <v>0.03</v>
      </c>
      <c r="F46" s="45"/>
      <c r="G46" s="45"/>
      <c r="H46" s="45"/>
      <c r="I46" s="8" t="n">
        <f aca="false">+B46*E46*C46</f>
        <v>433.665</v>
      </c>
      <c r="J46" s="8" t="n">
        <f aca="false">+I46+J45</f>
        <v>4075.715</v>
      </c>
      <c r="K46" s="8" t="n">
        <f aca="false">+MROUND(I46/30,0.5)</f>
        <v>14.5</v>
      </c>
    </row>
    <row r="47" customFormat="false" ht="14.25" hidden="false" customHeight="false" outlineLevel="0" collapsed="false">
      <c r="A47" s="42" t="n">
        <f aca="false">+A46+1</f>
        <v>45990</v>
      </c>
      <c r="B47" s="8" t="n">
        <f aca="false">+B46+D46</f>
        <v>63.25</v>
      </c>
      <c r="C47" s="44" t="n">
        <f aca="false">+C46</f>
        <v>230</v>
      </c>
      <c r="D47" s="9" t="n">
        <f aca="false">+PRECOZ!C29</f>
        <v>0.4</v>
      </c>
      <c r="E47" s="10" t="n">
        <f aca="false">+PRECOZ!D29</f>
        <v>0.03</v>
      </c>
      <c r="F47" s="45"/>
      <c r="G47" s="45"/>
      <c r="H47" s="45"/>
      <c r="I47" s="8" t="n">
        <f aca="false">+B47*E47*C47</f>
        <v>436.425</v>
      </c>
      <c r="J47" s="8" t="n">
        <f aca="false">+I47+J46</f>
        <v>4512.14</v>
      </c>
      <c r="K47" s="8" t="n">
        <f aca="false">+MROUND(I47/30,0.5)</f>
        <v>14.5</v>
      </c>
    </row>
    <row r="48" customFormat="false" ht="14.25" hidden="false" customHeight="false" outlineLevel="0" collapsed="false">
      <c r="A48" s="42" t="n">
        <f aca="false">+A47+1</f>
        <v>45991</v>
      </c>
      <c r="B48" s="8" t="n">
        <f aca="false">+B47+D47</f>
        <v>63.65</v>
      </c>
      <c r="C48" s="44" t="n">
        <f aca="false">+C47</f>
        <v>230</v>
      </c>
      <c r="D48" s="9" t="n">
        <f aca="false">+PRECOZ!C30</f>
        <v>0.4</v>
      </c>
      <c r="E48" s="10" t="n">
        <f aca="false">+PRECOZ!D30</f>
        <v>0.03</v>
      </c>
      <c r="F48" s="45"/>
      <c r="G48" s="45"/>
      <c r="H48" s="45"/>
      <c r="I48" s="8" t="n">
        <f aca="false">+B48*E48*C48</f>
        <v>439.185</v>
      </c>
      <c r="J48" s="8" t="n">
        <f aca="false">+I48+J47</f>
        <v>4951.325</v>
      </c>
      <c r="K48" s="8" t="n">
        <f aca="false">+MROUND(I48/30,0.5)</f>
        <v>14.5</v>
      </c>
    </row>
    <row r="49" customFormat="false" ht="14.25" hidden="false" customHeight="false" outlineLevel="0" collapsed="false">
      <c r="A49" s="42" t="n">
        <f aca="false">+A48+1</f>
        <v>45992</v>
      </c>
      <c r="B49" s="8" t="n">
        <f aca="false">+B48+D48</f>
        <v>64.05</v>
      </c>
      <c r="C49" s="44" t="n">
        <f aca="false">+C48</f>
        <v>230</v>
      </c>
      <c r="D49" s="9" t="n">
        <f aca="false">+PRECOZ!C31</f>
        <v>0.45</v>
      </c>
      <c r="E49" s="10" t="n">
        <f aca="false">+PRECOZ!D31</f>
        <v>0.03</v>
      </c>
      <c r="F49" s="45"/>
      <c r="G49" s="45"/>
      <c r="H49" s="45"/>
      <c r="I49" s="8" t="n">
        <f aca="false">+B49*E49*C49</f>
        <v>441.945</v>
      </c>
      <c r="J49" s="8" t="n">
        <f aca="false">+I49+J48</f>
        <v>5393.27</v>
      </c>
      <c r="K49" s="8" t="n">
        <f aca="false">+MROUND(I49/30,0.5)</f>
        <v>14.5</v>
      </c>
    </row>
    <row r="50" customFormat="false" ht="14.25" hidden="false" customHeight="false" outlineLevel="0" collapsed="false">
      <c r="A50" s="42" t="n">
        <f aca="false">+A49+1</f>
        <v>45993</v>
      </c>
      <c r="B50" s="8" t="n">
        <f aca="false">+B49+D49</f>
        <v>64.5</v>
      </c>
      <c r="C50" s="44" t="n">
        <f aca="false">+C49</f>
        <v>230</v>
      </c>
      <c r="D50" s="9" t="n">
        <f aca="false">+PRECOZ!C32</f>
        <v>0.45</v>
      </c>
      <c r="E50" s="10" t="n">
        <f aca="false">+PRECOZ!D32</f>
        <v>0.03</v>
      </c>
      <c r="F50" s="45"/>
      <c r="G50" s="45"/>
      <c r="H50" s="45"/>
      <c r="I50" s="8" t="n">
        <f aca="false">+B50*E50*C50</f>
        <v>445.05</v>
      </c>
      <c r="J50" s="8" t="n">
        <f aca="false">+I50+J49</f>
        <v>5838.32</v>
      </c>
      <c r="K50" s="8" t="n">
        <f aca="false">+MROUND(I50/30,0.5)</f>
        <v>15</v>
      </c>
    </row>
    <row r="51" customFormat="false" ht="14.25" hidden="false" customHeight="false" outlineLevel="0" collapsed="false">
      <c r="A51" s="42" t="n">
        <f aca="false">+A50+1</f>
        <v>45994</v>
      </c>
      <c r="B51" s="8" t="n">
        <f aca="false">+B50+D50</f>
        <v>64.95</v>
      </c>
      <c r="C51" s="44" t="n">
        <f aca="false">+C50</f>
        <v>230</v>
      </c>
      <c r="D51" s="9" t="n">
        <f aca="false">+PRECOZ!C33</f>
        <v>0.45</v>
      </c>
      <c r="E51" s="10" t="n">
        <f aca="false">+PRECOZ!D33</f>
        <v>0.03</v>
      </c>
      <c r="F51" s="45"/>
      <c r="G51" s="45"/>
      <c r="H51" s="45"/>
      <c r="I51" s="8" t="n">
        <f aca="false">+B51*E51*C51</f>
        <v>448.155</v>
      </c>
      <c r="J51" s="8" t="n">
        <f aca="false">+I51+J50</f>
        <v>6286.475</v>
      </c>
      <c r="K51" s="8" t="n">
        <f aca="false">+MROUND(I51/30,0.5)</f>
        <v>15</v>
      </c>
    </row>
    <row r="52" customFormat="false" ht="14.25" hidden="false" customHeight="false" outlineLevel="0" collapsed="false">
      <c r="A52" s="42" t="n">
        <f aca="false">+A51+1</f>
        <v>45995</v>
      </c>
      <c r="B52" s="8" t="n">
        <f aca="false">+B51+D51</f>
        <v>65.4</v>
      </c>
      <c r="C52" s="44" t="n">
        <f aca="false">+C51</f>
        <v>230</v>
      </c>
      <c r="D52" s="9" t="n">
        <f aca="false">+PRECOZ!C34</f>
        <v>0.45</v>
      </c>
      <c r="E52" s="10" t="n">
        <f aca="false">+PRECOZ!D34</f>
        <v>0.03</v>
      </c>
      <c r="F52" s="45"/>
      <c r="G52" s="45"/>
      <c r="H52" s="45"/>
      <c r="I52" s="8" t="n">
        <f aca="false">+B52*E52*C52</f>
        <v>451.26</v>
      </c>
      <c r="J52" s="8" t="n">
        <f aca="false">+I52+J51</f>
        <v>6737.735</v>
      </c>
      <c r="K52" s="8" t="n">
        <f aca="false">+MROUND(I52/30,0.5)</f>
        <v>15</v>
      </c>
    </row>
    <row r="53" customFormat="false" ht="14.25" hidden="false" customHeight="false" outlineLevel="0" collapsed="false">
      <c r="A53" s="42" t="n">
        <f aca="false">+A52+1</f>
        <v>45996</v>
      </c>
      <c r="B53" s="8" t="n">
        <f aca="false">+B52+D52</f>
        <v>65.85</v>
      </c>
      <c r="C53" s="44" t="n">
        <f aca="false">+C52</f>
        <v>230</v>
      </c>
      <c r="D53" s="9" t="n">
        <f aca="false">+PRECOZ!C35</f>
        <v>0.45</v>
      </c>
      <c r="E53" s="10" t="n">
        <f aca="false">+PRECOZ!D35</f>
        <v>0.03</v>
      </c>
      <c r="F53" s="45"/>
      <c r="G53" s="45"/>
      <c r="H53" s="45"/>
      <c r="I53" s="8" t="n">
        <f aca="false">+B53*E53*C53</f>
        <v>454.365</v>
      </c>
      <c r="J53" s="8" t="n">
        <f aca="false">+I53+J52</f>
        <v>7192.09999999999</v>
      </c>
      <c r="K53" s="8" t="n">
        <f aca="false">+MROUND(I53/30,0.5)</f>
        <v>15</v>
      </c>
    </row>
    <row r="54" customFormat="false" ht="14.25" hidden="false" customHeight="false" outlineLevel="0" collapsed="false">
      <c r="A54" s="42" t="n">
        <f aca="false">+A53+1</f>
        <v>45997</v>
      </c>
      <c r="B54" s="8" t="n">
        <f aca="false">+B53+D53</f>
        <v>66.3</v>
      </c>
      <c r="C54" s="44" t="n">
        <f aca="false">+C53</f>
        <v>230</v>
      </c>
      <c r="D54" s="9" t="n">
        <f aca="false">+PRECOZ!C36</f>
        <v>0.45</v>
      </c>
      <c r="E54" s="10" t="n">
        <f aca="false">+PRECOZ!D36</f>
        <v>0.03</v>
      </c>
      <c r="F54" s="45"/>
      <c r="G54" s="45"/>
      <c r="H54" s="45"/>
      <c r="I54" s="8" t="n">
        <f aca="false">+B54*E54*C54</f>
        <v>457.47</v>
      </c>
      <c r="J54" s="8" t="n">
        <f aca="false">+I54+J53</f>
        <v>7649.56999999999</v>
      </c>
      <c r="K54" s="8" t="n">
        <f aca="false">+MROUND(I54/30,0.5)</f>
        <v>15</v>
      </c>
    </row>
    <row r="55" customFormat="false" ht="14.25" hidden="false" customHeight="false" outlineLevel="0" collapsed="false">
      <c r="A55" s="42" t="n">
        <f aca="false">+A54+1</f>
        <v>45998</v>
      </c>
      <c r="B55" s="8" t="n">
        <f aca="false">+B54+D54</f>
        <v>66.75</v>
      </c>
      <c r="C55" s="44" t="n">
        <f aca="false">+C54</f>
        <v>230</v>
      </c>
      <c r="D55" s="9" t="n">
        <f aca="false">+PRECOZ!C37</f>
        <v>0.45</v>
      </c>
      <c r="E55" s="10" t="n">
        <f aca="false">+PRECOZ!D37</f>
        <v>0.03</v>
      </c>
      <c r="F55" s="45"/>
      <c r="G55" s="45"/>
      <c r="H55" s="45"/>
      <c r="I55" s="8" t="n">
        <f aca="false">+B55*E55*C55</f>
        <v>460.575</v>
      </c>
      <c r="J55" s="8" t="n">
        <f aca="false">+I55+J54</f>
        <v>8110.14499999999</v>
      </c>
      <c r="K55" s="8" t="n">
        <f aca="false">+MROUND(I55/30,0.5)</f>
        <v>15.5</v>
      </c>
    </row>
    <row r="56" customFormat="false" ht="14.25" hidden="false" customHeight="false" outlineLevel="0" collapsed="false">
      <c r="A56" s="42" t="n">
        <f aca="false">+A55+1</f>
        <v>45999</v>
      </c>
      <c r="B56" s="8" t="n">
        <f aca="false">+B55+D55</f>
        <v>67.2</v>
      </c>
      <c r="C56" s="44" t="n">
        <f aca="false">+C55</f>
        <v>230</v>
      </c>
      <c r="D56" s="9" t="n">
        <f aca="false">+PRECOZ!C38</f>
        <v>0.45</v>
      </c>
      <c r="E56" s="10" t="n">
        <f aca="false">+PRECOZ!D38</f>
        <v>0.03</v>
      </c>
      <c r="F56" s="45"/>
      <c r="G56" s="45"/>
      <c r="H56" s="45"/>
      <c r="I56" s="8" t="n">
        <f aca="false">+B56*E56*C56</f>
        <v>463.68</v>
      </c>
      <c r="J56" s="8" t="n">
        <f aca="false">+I56+J55</f>
        <v>8573.82499999999</v>
      </c>
      <c r="K56" s="8" t="n">
        <f aca="false">+MROUND(I56/30,0.5)</f>
        <v>15.5</v>
      </c>
    </row>
    <row r="57" customFormat="false" ht="14.25" hidden="false" customHeight="false" outlineLevel="0" collapsed="false">
      <c r="A57" s="42" t="n">
        <f aca="false">+A56+1</f>
        <v>46000</v>
      </c>
      <c r="B57" s="8" t="n">
        <f aca="false">+B56+D56</f>
        <v>67.65</v>
      </c>
      <c r="C57" s="44" t="n">
        <f aca="false">+C56</f>
        <v>230</v>
      </c>
      <c r="D57" s="9" t="n">
        <f aca="false">+PRECOZ!C39</f>
        <v>0.45</v>
      </c>
      <c r="E57" s="10" t="n">
        <f aca="false">+PRECOZ!D39</f>
        <v>0.03</v>
      </c>
      <c r="F57" s="45"/>
      <c r="G57" s="45"/>
      <c r="H57" s="45"/>
      <c r="I57" s="8" t="n">
        <f aca="false">+B57*E57*C57</f>
        <v>466.785</v>
      </c>
      <c r="J57" s="8" t="n">
        <f aca="false">+I57+J56</f>
        <v>9040.60999999999</v>
      </c>
      <c r="K57" s="8" t="n">
        <f aca="false">+MROUND(I57/30,0.5)</f>
        <v>15.5</v>
      </c>
    </row>
    <row r="58" customFormat="false" ht="14.25" hidden="false" customHeight="false" outlineLevel="0" collapsed="false">
      <c r="A58" s="42" t="n">
        <f aca="false">+A57+1</f>
        <v>46001</v>
      </c>
      <c r="B58" s="8" t="n">
        <f aca="false">+B57+D57</f>
        <v>68.1</v>
      </c>
      <c r="C58" s="44" t="n">
        <f aca="false">+C57</f>
        <v>230</v>
      </c>
      <c r="D58" s="9" t="n">
        <f aca="false">+PRECOZ!C40</f>
        <v>0.45</v>
      </c>
      <c r="E58" s="10" t="n">
        <f aca="false">+PRECOZ!D40</f>
        <v>0.03</v>
      </c>
      <c r="F58" s="45"/>
      <c r="G58" s="45"/>
      <c r="H58" s="45"/>
      <c r="I58" s="8" t="n">
        <f aca="false">+B58*E58*C58</f>
        <v>469.89</v>
      </c>
      <c r="J58" s="8" t="n">
        <f aca="false">+I58+J57</f>
        <v>9510.49999999999</v>
      </c>
      <c r="K58" s="8" t="n">
        <f aca="false">+MROUND(I58/30,0.5)</f>
        <v>15.5</v>
      </c>
    </row>
    <row r="59" customFormat="false" ht="14.25" hidden="false" customHeight="false" outlineLevel="0" collapsed="false">
      <c r="A59" s="42" t="n">
        <f aca="false">+A58+1</f>
        <v>46002</v>
      </c>
      <c r="B59" s="8" t="n">
        <f aca="false">+B58+D58</f>
        <v>68.55</v>
      </c>
      <c r="C59" s="44" t="n">
        <f aca="false">+C58</f>
        <v>230</v>
      </c>
      <c r="D59" s="9" t="n">
        <f aca="false">+PRECOZ!C41</f>
        <v>0.45</v>
      </c>
      <c r="E59" s="10" t="n">
        <f aca="false">+PRECOZ!D41</f>
        <v>0.03</v>
      </c>
      <c r="F59" s="45"/>
      <c r="G59" s="45"/>
      <c r="H59" s="45"/>
      <c r="I59" s="8" t="n">
        <f aca="false">+B59*E59*C59</f>
        <v>472.995</v>
      </c>
      <c r="J59" s="8" t="n">
        <f aca="false">+I59+J58</f>
        <v>9983.49499999999</v>
      </c>
      <c r="K59" s="8" t="n">
        <f aca="false">+MROUND(I59/30,0.5)</f>
        <v>16</v>
      </c>
    </row>
    <row r="60" customFormat="false" ht="14.25" hidden="false" customHeight="false" outlineLevel="0" collapsed="false">
      <c r="A60" s="42" t="n">
        <f aca="false">+A59+1</f>
        <v>46003</v>
      </c>
      <c r="B60" s="8" t="n">
        <f aca="false">+B59+D59</f>
        <v>69</v>
      </c>
      <c r="C60" s="44" t="n">
        <f aca="false">+C59</f>
        <v>230</v>
      </c>
      <c r="D60" s="9" t="n">
        <f aca="false">+PRECOZ!C42</f>
        <v>0.5</v>
      </c>
      <c r="E60" s="10" t="n">
        <f aca="false">+PRECOZ!D42</f>
        <v>0.03</v>
      </c>
      <c r="F60" s="45"/>
      <c r="G60" s="45"/>
      <c r="H60" s="45"/>
      <c r="I60" s="8" t="n">
        <f aca="false">+B60*E60*C60</f>
        <v>476.1</v>
      </c>
      <c r="J60" s="8" t="n">
        <f aca="false">+I60+J59</f>
        <v>10459.595</v>
      </c>
      <c r="K60" s="8" t="n">
        <f aca="false">+MROUND(I60/30,0.5)</f>
        <v>16</v>
      </c>
    </row>
    <row r="61" customFormat="false" ht="14.25" hidden="false" customHeight="false" outlineLevel="0" collapsed="false">
      <c r="A61" s="42" t="n">
        <f aca="false">+A60+1</f>
        <v>46004</v>
      </c>
      <c r="B61" s="8" t="n">
        <f aca="false">+B60+D60</f>
        <v>69.5</v>
      </c>
      <c r="C61" s="44" t="n">
        <f aca="false">+C60</f>
        <v>230</v>
      </c>
      <c r="D61" s="9" t="n">
        <f aca="false">+PRECOZ!C43</f>
        <v>0.5</v>
      </c>
      <c r="E61" s="10" t="n">
        <f aca="false">+PRECOZ!D43</f>
        <v>0.03</v>
      </c>
      <c r="F61" s="45"/>
      <c r="G61" s="45"/>
      <c r="H61" s="45"/>
      <c r="I61" s="8" t="n">
        <f aca="false">+B61*E61*C61</f>
        <v>479.55</v>
      </c>
      <c r="J61" s="8" t="n">
        <f aca="false">+I61+J60</f>
        <v>10939.145</v>
      </c>
      <c r="K61" s="8" t="n">
        <f aca="false">+MROUND(I61/30,0.5)</f>
        <v>16</v>
      </c>
    </row>
    <row r="62" customFormat="false" ht="14.25" hidden="false" customHeight="false" outlineLevel="0" collapsed="false">
      <c r="A62" s="42" t="n">
        <f aca="false">+A61+1</f>
        <v>46005</v>
      </c>
      <c r="B62" s="8" t="n">
        <f aca="false">+B61+D61</f>
        <v>70</v>
      </c>
      <c r="C62" s="44" t="n">
        <f aca="false">+C61</f>
        <v>230</v>
      </c>
      <c r="D62" s="9" t="n">
        <f aca="false">+PRECOZ!C44</f>
        <v>0.5</v>
      </c>
      <c r="E62" s="10" t="n">
        <f aca="false">+PRECOZ!D44</f>
        <v>0.03</v>
      </c>
      <c r="F62" s="45"/>
      <c r="G62" s="45"/>
      <c r="H62" s="45"/>
      <c r="I62" s="8" t="n">
        <f aca="false">+B62*E62*C62</f>
        <v>483</v>
      </c>
      <c r="J62" s="8" t="n">
        <f aca="false">+I62+J61</f>
        <v>11422.145</v>
      </c>
      <c r="K62" s="8" t="n">
        <f aca="false">+MROUND(I62/30,0.5)</f>
        <v>16</v>
      </c>
    </row>
    <row r="63" customFormat="false" ht="14.25" hidden="false" customHeight="false" outlineLevel="0" collapsed="false">
      <c r="A63" s="42" t="n">
        <f aca="false">+A62+1</f>
        <v>46006</v>
      </c>
      <c r="B63" s="8" t="n">
        <f aca="false">+B62+D62</f>
        <v>70.5</v>
      </c>
      <c r="C63" s="44" t="n">
        <f aca="false">+C62</f>
        <v>230</v>
      </c>
      <c r="D63" s="9" t="n">
        <f aca="false">+PRECOZ!C45</f>
        <v>0.5</v>
      </c>
      <c r="E63" s="10" t="n">
        <f aca="false">+PRECOZ!D45</f>
        <v>0.03</v>
      </c>
      <c r="F63" s="45"/>
      <c r="G63" s="45"/>
      <c r="H63" s="45"/>
      <c r="I63" s="8" t="n">
        <f aca="false">+B63*E63*C63</f>
        <v>486.45</v>
      </c>
      <c r="J63" s="8" t="n">
        <f aca="false">+I63+J62</f>
        <v>11908.595</v>
      </c>
      <c r="K63" s="8" t="n">
        <f aca="false">+MROUND(I63/30,0.5)</f>
        <v>16</v>
      </c>
    </row>
    <row r="64" customFormat="false" ht="14.25" hidden="false" customHeight="false" outlineLevel="0" collapsed="false">
      <c r="A64" s="42" t="n">
        <f aca="false">+A63+1</f>
        <v>46007</v>
      </c>
      <c r="B64" s="8" t="n">
        <f aca="false">+B63+D63</f>
        <v>71</v>
      </c>
      <c r="C64" s="44" t="n">
        <f aca="false">+C63</f>
        <v>230</v>
      </c>
      <c r="D64" s="9" t="n">
        <f aca="false">+PRECOZ!C46</f>
        <v>0.5</v>
      </c>
      <c r="E64" s="10" t="n">
        <f aca="false">+PRECOZ!D46</f>
        <v>0.03</v>
      </c>
      <c r="F64" s="45"/>
      <c r="G64" s="45"/>
      <c r="H64" s="45"/>
      <c r="I64" s="8" t="n">
        <f aca="false">+B64*E64*C64</f>
        <v>489.9</v>
      </c>
      <c r="J64" s="8" t="n">
        <f aca="false">+I64+J63</f>
        <v>12398.495</v>
      </c>
      <c r="K64" s="8" t="n">
        <f aca="false">+MROUND(I64/30,0.5)</f>
        <v>16.5</v>
      </c>
    </row>
    <row r="65" customFormat="false" ht="14.25" hidden="false" customHeight="false" outlineLevel="0" collapsed="false">
      <c r="A65" s="42" t="n">
        <f aca="false">+A64+1</f>
        <v>46008</v>
      </c>
      <c r="B65" s="8" t="n">
        <f aca="false">+B64+D64</f>
        <v>71.5</v>
      </c>
      <c r="C65" s="44" t="n">
        <f aca="false">+C64</f>
        <v>230</v>
      </c>
      <c r="D65" s="9" t="n">
        <f aca="false">+PRECOZ!C47</f>
        <v>0.5</v>
      </c>
      <c r="E65" s="10" t="n">
        <f aca="false">+PRECOZ!D47</f>
        <v>0.03</v>
      </c>
      <c r="F65" s="45"/>
      <c r="G65" s="45"/>
      <c r="H65" s="45"/>
      <c r="I65" s="8" t="n">
        <f aca="false">+B65*E65*C65</f>
        <v>493.35</v>
      </c>
      <c r="J65" s="8" t="n">
        <f aca="false">+I65+J64</f>
        <v>12891.845</v>
      </c>
      <c r="K65" s="8" t="n">
        <f aca="false">+MROUND(I65/30,0.5)</f>
        <v>16.5</v>
      </c>
    </row>
    <row r="66" customFormat="false" ht="14.25" hidden="false" customHeight="false" outlineLevel="0" collapsed="false">
      <c r="A66" s="42" t="n">
        <f aca="false">+A65+1</f>
        <v>46009</v>
      </c>
      <c r="B66" s="8" t="n">
        <f aca="false">+B65+D65</f>
        <v>72</v>
      </c>
      <c r="C66" s="44" t="n">
        <f aca="false">+C65</f>
        <v>230</v>
      </c>
      <c r="D66" s="9" t="n">
        <f aca="false">+PRECOZ!C48</f>
        <v>0.5</v>
      </c>
      <c r="E66" s="10" t="n">
        <f aca="false">+PRECOZ!D48</f>
        <v>0.03</v>
      </c>
      <c r="F66" s="45"/>
      <c r="G66" s="45"/>
      <c r="H66" s="45"/>
      <c r="I66" s="8" t="n">
        <f aca="false">+B66*E66*C66</f>
        <v>496.8</v>
      </c>
      <c r="J66" s="8" t="n">
        <f aca="false">+I66+J65</f>
        <v>13388.645</v>
      </c>
      <c r="K66" s="8" t="n">
        <f aca="false">+MROUND(I66/30,0.5)</f>
        <v>16.5</v>
      </c>
    </row>
    <row r="67" customFormat="false" ht="14.25" hidden="false" customHeight="false" outlineLevel="0" collapsed="false">
      <c r="A67" s="42" t="n">
        <f aca="false">+A66+1</f>
        <v>46010</v>
      </c>
      <c r="B67" s="8" t="n">
        <f aca="false">+B66+D66</f>
        <v>72.5</v>
      </c>
      <c r="C67" s="44" t="n">
        <f aca="false">+C66</f>
        <v>230</v>
      </c>
      <c r="D67" s="9" t="n">
        <f aca="false">+PRECOZ!C49</f>
        <v>0.6</v>
      </c>
      <c r="E67" s="10" t="n">
        <f aca="false">+PRECOZ!D49</f>
        <v>0.03</v>
      </c>
      <c r="F67" s="45"/>
      <c r="G67" s="45"/>
      <c r="H67" s="45"/>
      <c r="I67" s="8" t="n">
        <f aca="false">+B67*E67*C67</f>
        <v>500.25</v>
      </c>
      <c r="J67" s="8" t="n">
        <f aca="false">+I67+J66</f>
        <v>13888.895</v>
      </c>
      <c r="K67" s="8" t="n">
        <f aca="false">+MROUND(I67/30,0.5)</f>
        <v>16.5</v>
      </c>
    </row>
    <row r="68" customFormat="false" ht="14.25" hidden="false" customHeight="false" outlineLevel="0" collapsed="false">
      <c r="A68" s="42" t="n">
        <f aca="false">+A67+1</f>
        <v>46011</v>
      </c>
      <c r="B68" s="8" t="n">
        <f aca="false">+B67+D67</f>
        <v>73.1</v>
      </c>
      <c r="C68" s="44" t="n">
        <f aca="false">+C67</f>
        <v>230</v>
      </c>
      <c r="D68" s="9" t="n">
        <f aca="false">+PRECOZ!C50</f>
        <v>0.6</v>
      </c>
      <c r="E68" s="10" t="n">
        <f aca="false">+PRECOZ!D50</f>
        <v>0.03</v>
      </c>
      <c r="F68" s="45"/>
      <c r="G68" s="45"/>
      <c r="H68" s="45"/>
      <c r="I68" s="8" t="n">
        <f aca="false">+B68*E68*C68</f>
        <v>504.39</v>
      </c>
      <c r="J68" s="8" t="n">
        <f aca="false">+I68+J67</f>
        <v>14393.285</v>
      </c>
      <c r="K68" s="8" t="n">
        <f aca="false">+MROUND(I68/30,0.5)</f>
        <v>17</v>
      </c>
    </row>
    <row r="69" customFormat="false" ht="14.25" hidden="false" customHeight="false" outlineLevel="0" collapsed="false">
      <c r="A69" s="42" t="n">
        <f aca="false">+A68+1</f>
        <v>46012</v>
      </c>
      <c r="B69" s="8" t="n">
        <f aca="false">+B68+D68</f>
        <v>73.7</v>
      </c>
      <c r="C69" s="44" t="n">
        <f aca="false">+C68</f>
        <v>230</v>
      </c>
      <c r="D69" s="9" t="n">
        <f aca="false">+PRECOZ!C51</f>
        <v>0.6</v>
      </c>
      <c r="E69" s="10" t="n">
        <f aca="false">+PRECOZ!D51</f>
        <v>0.03</v>
      </c>
      <c r="F69" s="45"/>
      <c r="G69" s="45"/>
      <c r="H69" s="45"/>
      <c r="I69" s="8" t="n">
        <f aca="false">+B69*E69*C69</f>
        <v>508.53</v>
      </c>
      <c r="J69" s="8" t="n">
        <f aca="false">+I69+J68</f>
        <v>14901.815</v>
      </c>
      <c r="K69" s="8" t="n">
        <f aca="false">+MROUND(I69/30,0.5)</f>
        <v>17</v>
      </c>
    </row>
    <row r="70" customFormat="false" ht="14.25" hidden="false" customHeight="false" outlineLevel="0" collapsed="false">
      <c r="A70" s="42" t="n">
        <f aca="false">+A69+1</f>
        <v>46013</v>
      </c>
      <c r="B70" s="8" t="n">
        <f aca="false">+B69+D69</f>
        <v>74.3</v>
      </c>
      <c r="C70" s="44" t="n">
        <f aca="false">+C69</f>
        <v>230</v>
      </c>
      <c r="D70" s="9" t="n">
        <f aca="false">+PRECOZ!C52</f>
        <v>0.6</v>
      </c>
      <c r="E70" s="10" t="n">
        <f aca="false">+PRECOZ!D52</f>
        <v>0.03</v>
      </c>
      <c r="F70" s="45"/>
      <c r="G70" s="45"/>
      <c r="H70" s="45"/>
      <c r="I70" s="8" t="n">
        <f aca="false">+B70*E70*C70</f>
        <v>512.67</v>
      </c>
      <c r="J70" s="8" t="n">
        <f aca="false">+I70+J69</f>
        <v>15414.485</v>
      </c>
      <c r="K70" s="8" t="n">
        <f aca="false">+MROUND(I70/30,0.5)</f>
        <v>17</v>
      </c>
    </row>
    <row r="71" customFormat="false" ht="14.25" hidden="false" customHeight="false" outlineLevel="0" collapsed="false">
      <c r="A71" s="42" t="n">
        <f aca="false">+A70+1</f>
        <v>46014</v>
      </c>
      <c r="B71" s="8" t="n">
        <f aca="false">+B70+D70</f>
        <v>74.9</v>
      </c>
      <c r="C71" s="44" t="n">
        <f aca="false">+C70</f>
        <v>230</v>
      </c>
      <c r="D71" s="9" t="n">
        <f aca="false">+PRECOZ!C53</f>
        <v>0.6</v>
      </c>
      <c r="E71" s="10" t="n">
        <f aca="false">+PRECOZ!D53</f>
        <v>0.03</v>
      </c>
      <c r="F71" s="45"/>
      <c r="G71" s="45"/>
      <c r="H71" s="45"/>
      <c r="I71" s="8" t="n">
        <f aca="false">+B71*E71*C71</f>
        <v>516.81</v>
      </c>
      <c r="J71" s="8" t="n">
        <f aca="false">+I71+J70</f>
        <v>15931.295</v>
      </c>
      <c r="K71" s="8" t="n">
        <f aca="false">+MROUND(I71/30,0.5)</f>
        <v>17</v>
      </c>
    </row>
    <row r="72" customFormat="false" ht="14.25" hidden="false" customHeight="false" outlineLevel="0" collapsed="false">
      <c r="A72" s="42" t="n">
        <f aca="false">+A71+1</f>
        <v>46015</v>
      </c>
      <c r="B72" s="8" t="n">
        <f aca="false">+B71+D71</f>
        <v>75.5</v>
      </c>
      <c r="C72" s="44" t="n">
        <f aca="false">+C71</f>
        <v>230</v>
      </c>
      <c r="D72" s="9" t="n">
        <f aca="false">+PRECOZ!C54</f>
        <v>0.6</v>
      </c>
      <c r="E72" s="10" t="n">
        <f aca="false">+PRECOZ!D54</f>
        <v>0.03</v>
      </c>
      <c r="F72" s="45"/>
      <c r="G72" s="45"/>
      <c r="H72" s="45"/>
      <c r="I72" s="8" t="n">
        <f aca="false">+B72*E72*C72</f>
        <v>520.95</v>
      </c>
      <c r="J72" s="8" t="n">
        <f aca="false">+I72+J71</f>
        <v>16452.245</v>
      </c>
      <c r="K72" s="8" t="n">
        <f aca="false">+MROUND(I72/30,0.5)</f>
        <v>17.5</v>
      </c>
    </row>
    <row r="73" customFormat="false" ht="14.25" hidden="false" customHeight="false" outlineLevel="0" collapsed="false">
      <c r="A73" s="42" t="n">
        <f aca="false">+A72+1</f>
        <v>46016</v>
      </c>
      <c r="B73" s="8" t="n">
        <f aca="false">+B72+D72</f>
        <v>76.1</v>
      </c>
      <c r="C73" s="44" t="n">
        <f aca="false">+C72</f>
        <v>230</v>
      </c>
      <c r="D73" s="9" t="n">
        <f aca="false">+PRECOZ!C55</f>
        <v>0.6</v>
      </c>
      <c r="E73" s="10" t="n">
        <f aca="false">+PRECOZ!D55</f>
        <v>0.03</v>
      </c>
      <c r="F73" s="45"/>
      <c r="G73" s="45"/>
      <c r="H73" s="45"/>
      <c r="I73" s="8" t="n">
        <f aca="false">+B73*E73*C73</f>
        <v>525.09</v>
      </c>
      <c r="J73" s="8" t="n">
        <f aca="false">+I73+J72</f>
        <v>16977.335</v>
      </c>
      <c r="K73" s="8" t="n">
        <f aca="false">+MROUND(I73/30,0.5)</f>
        <v>17.5</v>
      </c>
    </row>
    <row r="74" customFormat="false" ht="14.25" hidden="false" customHeight="false" outlineLevel="0" collapsed="false">
      <c r="A74" s="42" t="n">
        <f aca="false">+A73+1</f>
        <v>46017</v>
      </c>
      <c r="B74" s="8" t="n">
        <f aca="false">+B73+D73</f>
        <v>76.6999999999999</v>
      </c>
      <c r="C74" s="44" t="n">
        <f aca="false">+C73</f>
        <v>230</v>
      </c>
      <c r="D74" s="9" t="n">
        <f aca="false">+PRECOZ!C56</f>
        <v>0.6</v>
      </c>
      <c r="E74" s="10" t="n">
        <f aca="false">+PRECOZ!D56</f>
        <v>0.03</v>
      </c>
      <c r="F74" s="45"/>
      <c r="G74" s="45"/>
      <c r="H74" s="45"/>
      <c r="I74" s="8" t="n">
        <f aca="false">+B74*E74*C74</f>
        <v>529.23</v>
      </c>
      <c r="J74" s="8" t="n">
        <f aca="false">+I74+J73</f>
        <v>17506.565</v>
      </c>
      <c r="K74" s="8" t="n">
        <f aca="false">+MROUND(I74/30,0.5)</f>
        <v>17.5</v>
      </c>
    </row>
    <row r="75" customFormat="false" ht="14.25" hidden="false" customHeight="false" outlineLevel="0" collapsed="false">
      <c r="A75" s="42" t="n">
        <f aca="false">+A74+1</f>
        <v>46018</v>
      </c>
      <c r="B75" s="8" t="n">
        <f aca="false">+B74+D74</f>
        <v>77.2999999999999</v>
      </c>
      <c r="C75" s="44" t="n">
        <f aca="false">+C74</f>
        <v>230</v>
      </c>
      <c r="D75" s="9" t="n">
        <f aca="false">+PRECOZ!C57</f>
        <v>0.6</v>
      </c>
      <c r="E75" s="10" t="n">
        <f aca="false">+PRECOZ!D57</f>
        <v>0.03</v>
      </c>
      <c r="F75" s="45"/>
      <c r="G75" s="45"/>
      <c r="H75" s="45"/>
      <c r="I75" s="8" t="n">
        <f aca="false">+B75*E75*C75</f>
        <v>533.37</v>
      </c>
      <c r="J75" s="8" t="n">
        <f aca="false">+I75+J74</f>
        <v>18039.935</v>
      </c>
      <c r="K75" s="8" t="n">
        <f aca="false">+MROUND(I75/30,0.5)</f>
        <v>18</v>
      </c>
    </row>
    <row r="76" customFormat="false" ht="14.25" hidden="false" customHeight="false" outlineLevel="0" collapsed="false">
      <c r="A76" s="42" t="n">
        <f aca="false">+A75+1</f>
        <v>46019</v>
      </c>
      <c r="B76" s="8" t="n">
        <f aca="false">+B75+D75</f>
        <v>77.8999999999999</v>
      </c>
      <c r="C76" s="44" t="n">
        <f aca="false">+C75</f>
        <v>230</v>
      </c>
      <c r="D76" s="9" t="n">
        <f aca="false">+PRECOZ!C58</f>
        <v>0.6</v>
      </c>
      <c r="E76" s="10" t="n">
        <f aca="false">+PRECOZ!D58</f>
        <v>0.03</v>
      </c>
      <c r="F76" s="45"/>
      <c r="G76" s="45"/>
      <c r="H76" s="45"/>
      <c r="I76" s="8" t="n">
        <f aca="false">+B76*E76*C76</f>
        <v>537.51</v>
      </c>
      <c r="J76" s="8" t="n">
        <f aca="false">+I76+J75</f>
        <v>18577.445</v>
      </c>
      <c r="K76" s="8" t="n">
        <f aca="false">+MROUND(I76/30,0.5)</f>
        <v>18</v>
      </c>
    </row>
    <row r="77" customFormat="false" ht="14.25" hidden="false" customHeight="false" outlineLevel="0" collapsed="false">
      <c r="A77" s="42" t="n">
        <f aca="false">+A76+1</f>
        <v>46020</v>
      </c>
      <c r="B77" s="8" t="n">
        <f aca="false">+B76+D76</f>
        <v>78.4999999999999</v>
      </c>
      <c r="C77" s="44" t="n">
        <f aca="false">+C76</f>
        <v>230</v>
      </c>
      <c r="D77" s="9" t="n">
        <f aca="false">+PRECOZ!C59</f>
        <v>0.6</v>
      </c>
      <c r="E77" s="10" t="n">
        <f aca="false">+PRECOZ!D59</f>
        <v>0.03</v>
      </c>
      <c r="F77" s="45"/>
      <c r="G77" s="45"/>
      <c r="H77" s="45"/>
      <c r="I77" s="8" t="n">
        <f aca="false">+B77*E77*C77</f>
        <v>541.65</v>
      </c>
      <c r="J77" s="8" t="n">
        <f aca="false">+I77+J76</f>
        <v>19119.095</v>
      </c>
      <c r="K77" s="8" t="n">
        <f aca="false">+MROUND(I77/30,0.5)</f>
        <v>18</v>
      </c>
    </row>
    <row r="78" customFormat="false" ht="14.25" hidden="false" customHeight="false" outlineLevel="0" collapsed="false">
      <c r="A78" s="42" t="n">
        <f aca="false">+A77+1</f>
        <v>46021</v>
      </c>
      <c r="B78" s="8" t="n">
        <f aca="false">+B77+D77</f>
        <v>79.0999999999999</v>
      </c>
      <c r="C78" s="44" t="n">
        <f aca="false">+C77</f>
        <v>230</v>
      </c>
      <c r="D78" s="9" t="n">
        <f aca="false">+PRECOZ!C60</f>
        <v>0.6</v>
      </c>
      <c r="E78" s="10" t="n">
        <f aca="false">+PRECOZ!D60</f>
        <v>0.03</v>
      </c>
      <c r="F78" s="45"/>
      <c r="G78" s="45"/>
      <c r="H78" s="45"/>
      <c r="I78" s="8" t="n">
        <f aca="false">+B78*E78*C78</f>
        <v>545.789999999999</v>
      </c>
      <c r="J78" s="8" t="n">
        <f aca="false">+I78+J77</f>
        <v>19664.885</v>
      </c>
      <c r="K78" s="8" t="n">
        <f aca="false">+MROUND(I78/30,0.5)</f>
        <v>18</v>
      </c>
    </row>
    <row r="79" customFormat="false" ht="14.25" hidden="false" customHeight="false" outlineLevel="0" collapsed="false">
      <c r="A79" s="42" t="n">
        <f aca="false">+A78+1</f>
        <v>46022</v>
      </c>
      <c r="B79" s="8" t="n">
        <f aca="false">+B78+D78</f>
        <v>79.6999999999999</v>
      </c>
      <c r="C79" s="44" t="n">
        <f aca="false">+C78</f>
        <v>230</v>
      </c>
      <c r="D79" s="9" t="n">
        <f aca="false">+PRECOZ!C61</f>
        <v>0.6</v>
      </c>
      <c r="E79" s="10" t="n">
        <f aca="false">+PRECOZ!D61</f>
        <v>0.03</v>
      </c>
      <c r="F79" s="45"/>
      <c r="G79" s="45"/>
      <c r="H79" s="45"/>
      <c r="I79" s="8" t="n">
        <f aca="false">+B79*E79*C79</f>
        <v>549.929999999999</v>
      </c>
      <c r="J79" s="8" t="n">
        <f aca="false">+I79+J78</f>
        <v>20214.815</v>
      </c>
      <c r="K79" s="8" t="n">
        <f aca="false">+MROUND(I79/30,0.5)</f>
        <v>18.5</v>
      </c>
    </row>
    <row r="80" customFormat="false" ht="14.25" hidden="false" customHeight="false" outlineLevel="0" collapsed="false">
      <c r="A80" s="42" t="n">
        <f aca="false">+A79+1</f>
        <v>46023</v>
      </c>
      <c r="B80" s="8" t="n">
        <f aca="false">+B79+D79</f>
        <v>80.2999999999999</v>
      </c>
      <c r="C80" s="44" t="n">
        <f aca="false">+C79</f>
        <v>230</v>
      </c>
      <c r="D80" s="9" t="n">
        <f aca="false">+PRECOZ!C62</f>
        <v>0.6</v>
      </c>
      <c r="E80" s="10" t="n">
        <f aca="false">+PRECOZ!D62</f>
        <v>0.03</v>
      </c>
      <c r="F80" s="45"/>
      <c r="G80" s="45"/>
      <c r="H80" s="45"/>
      <c r="I80" s="8" t="n">
        <f aca="false">+B80*E80*C80</f>
        <v>554.069999999999</v>
      </c>
      <c r="J80" s="8" t="n">
        <f aca="false">+I80+J79</f>
        <v>20768.885</v>
      </c>
      <c r="K80" s="8" t="n">
        <f aca="false">+MROUND(I80/30,0.5)</f>
        <v>18.5</v>
      </c>
    </row>
    <row r="81" customFormat="false" ht="14.25" hidden="false" customHeight="false" outlineLevel="0" collapsed="false">
      <c r="A81" s="42" t="n">
        <f aca="false">+A80+1</f>
        <v>46024</v>
      </c>
      <c r="B81" s="8" t="n">
        <f aca="false">+B80+D80</f>
        <v>80.8999999999999</v>
      </c>
      <c r="C81" s="44" t="n">
        <f aca="false">+C80</f>
        <v>230</v>
      </c>
      <c r="D81" s="9" t="n">
        <f aca="false">+PRECOZ!C63</f>
        <v>0.6</v>
      </c>
      <c r="E81" s="10" t="n">
        <f aca="false">+PRECOZ!D63</f>
        <v>0.03</v>
      </c>
      <c r="F81" s="45"/>
      <c r="G81" s="45"/>
      <c r="H81" s="45"/>
      <c r="I81" s="8" t="n">
        <f aca="false">+B81*E81*C81</f>
        <v>558.209999999999</v>
      </c>
      <c r="J81" s="8" t="n">
        <f aca="false">+I81+J80</f>
        <v>21327.095</v>
      </c>
      <c r="K81" s="8" t="n">
        <f aca="false">+MROUND(I81/30,0.5)</f>
        <v>18.5</v>
      </c>
    </row>
    <row r="82" customFormat="false" ht="14.25" hidden="false" customHeight="false" outlineLevel="0" collapsed="false">
      <c r="A82" s="42" t="n">
        <f aca="false">+A81+1</f>
        <v>46025</v>
      </c>
      <c r="B82" s="8" t="n">
        <f aca="false">+B81+D81</f>
        <v>81.4999999999999</v>
      </c>
      <c r="C82" s="44" t="n">
        <f aca="false">+C81</f>
        <v>230</v>
      </c>
      <c r="D82" s="9" t="n">
        <f aca="false">+PRECOZ!C64</f>
        <v>0.6</v>
      </c>
      <c r="E82" s="10" t="n">
        <f aca="false">+PRECOZ!D64</f>
        <v>0.03</v>
      </c>
      <c r="F82" s="45"/>
      <c r="G82" s="45"/>
      <c r="H82" s="45"/>
      <c r="I82" s="8" t="n">
        <f aca="false">+B82*E82*C82</f>
        <v>562.349999999999</v>
      </c>
      <c r="J82" s="8" t="n">
        <f aca="false">+I82+J81</f>
        <v>21889.445</v>
      </c>
      <c r="K82" s="8" t="n">
        <f aca="false">+MROUND(I82/30,0.5)</f>
        <v>18.5</v>
      </c>
    </row>
    <row r="83" customFormat="false" ht="14.25" hidden="false" customHeight="false" outlineLevel="0" collapsed="false">
      <c r="A83" s="42" t="n">
        <f aca="false">+A82+1</f>
        <v>46026</v>
      </c>
      <c r="B83" s="8" t="n">
        <f aca="false">+B82+D82</f>
        <v>82.0999999999999</v>
      </c>
      <c r="C83" s="44" t="n">
        <f aca="false">+C82</f>
        <v>230</v>
      </c>
      <c r="D83" s="9" t="n">
        <f aca="false">+PRECOZ!C65</f>
        <v>0.6</v>
      </c>
      <c r="E83" s="10" t="n">
        <f aca="false">+PRECOZ!D65</f>
        <v>0.03</v>
      </c>
      <c r="F83" s="45"/>
      <c r="G83" s="45"/>
      <c r="H83" s="45"/>
      <c r="I83" s="8" t="n">
        <f aca="false">+B83*E83*C83</f>
        <v>566.489999999999</v>
      </c>
      <c r="J83" s="8" t="n">
        <f aca="false">+I83+J82</f>
        <v>22455.935</v>
      </c>
      <c r="K83" s="8" t="n">
        <f aca="false">+MROUND(I83/30,0.5)</f>
        <v>19</v>
      </c>
    </row>
    <row r="84" customFormat="false" ht="14.25" hidden="false" customHeight="false" outlineLevel="0" collapsed="false">
      <c r="A84" s="42" t="n">
        <f aca="false">+A83+1</f>
        <v>46027</v>
      </c>
      <c r="B84" s="8" t="n">
        <f aca="false">+B83+D83</f>
        <v>82.6999999999999</v>
      </c>
      <c r="C84" s="44" t="n">
        <f aca="false">+C83</f>
        <v>230</v>
      </c>
      <c r="D84" s="9" t="n">
        <f aca="false">+PRECOZ!C66</f>
        <v>0.6</v>
      </c>
      <c r="E84" s="10" t="n">
        <f aca="false">+PRECOZ!D66</f>
        <v>0.03</v>
      </c>
      <c r="F84" s="45"/>
      <c r="G84" s="45"/>
      <c r="H84" s="45"/>
      <c r="I84" s="8" t="n">
        <f aca="false">+B84*E84*C84</f>
        <v>570.629999999999</v>
      </c>
      <c r="J84" s="8" t="n">
        <f aca="false">+I84+J83</f>
        <v>23026.565</v>
      </c>
      <c r="K84" s="8" t="n">
        <f aca="false">+MROUND(I84/30,0.5)</f>
        <v>19</v>
      </c>
    </row>
    <row r="85" customFormat="false" ht="14.25" hidden="false" customHeight="false" outlineLevel="0" collapsed="false">
      <c r="A85" s="42" t="n">
        <f aca="false">+A84+1</f>
        <v>46028</v>
      </c>
      <c r="B85" s="8" t="n">
        <f aca="false">+B84+D84</f>
        <v>83.2999999999999</v>
      </c>
      <c r="C85" s="44" t="n">
        <f aca="false">+C84</f>
        <v>230</v>
      </c>
      <c r="D85" s="9" t="n">
        <f aca="false">+PRECOZ!C67</f>
        <v>0.6</v>
      </c>
      <c r="E85" s="10" t="n">
        <f aca="false">+PRECOZ!D67</f>
        <v>0.03</v>
      </c>
      <c r="F85" s="45"/>
      <c r="G85" s="45"/>
      <c r="H85" s="45"/>
      <c r="I85" s="8" t="n">
        <f aca="false">+B85*E85*C85</f>
        <v>574.769999999999</v>
      </c>
      <c r="J85" s="8" t="n">
        <f aca="false">+I85+J84</f>
        <v>23601.335</v>
      </c>
      <c r="K85" s="8" t="n">
        <f aca="false">+MROUND(I85/30,0.5)</f>
        <v>19</v>
      </c>
    </row>
    <row r="86" customFormat="false" ht="14.25" hidden="false" customHeight="false" outlineLevel="0" collapsed="false">
      <c r="A86" s="42" t="n">
        <f aca="false">+A85+1</f>
        <v>46029</v>
      </c>
      <c r="B86" s="8" t="n">
        <f aca="false">+B85+D85</f>
        <v>83.8999999999999</v>
      </c>
      <c r="C86" s="44" t="n">
        <f aca="false">+C85</f>
        <v>230</v>
      </c>
      <c r="D86" s="9" t="n">
        <f aca="false">+PRECOZ!C68</f>
        <v>0.6</v>
      </c>
      <c r="E86" s="10" t="n">
        <f aca="false">+PRECOZ!D68</f>
        <v>0.03</v>
      </c>
      <c r="F86" s="45"/>
      <c r="G86" s="45"/>
      <c r="H86" s="45"/>
      <c r="I86" s="8" t="n">
        <f aca="false">+B86*E86*C86</f>
        <v>578.909999999999</v>
      </c>
      <c r="J86" s="8" t="n">
        <f aca="false">+I86+J85</f>
        <v>24180.245</v>
      </c>
      <c r="K86" s="8" t="n">
        <f aca="false">+MROUND(I86/30,0.5)</f>
        <v>19.5</v>
      </c>
    </row>
    <row r="87" customFormat="false" ht="14.25" hidden="false" customHeight="false" outlineLevel="0" collapsed="false">
      <c r="A87" s="42" t="n">
        <f aca="false">+A86+1</f>
        <v>46030</v>
      </c>
      <c r="B87" s="8" t="n">
        <f aca="false">+B86+D86</f>
        <v>84.4999999999999</v>
      </c>
      <c r="C87" s="44" t="n">
        <f aca="false">+C86</f>
        <v>230</v>
      </c>
      <c r="D87" s="9" t="n">
        <f aca="false">+PRECOZ!C69</f>
        <v>0.6</v>
      </c>
      <c r="E87" s="10" t="n">
        <f aca="false">+PRECOZ!D69</f>
        <v>0.03</v>
      </c>
      <c r="F87" s="45"/>
      <c r="G87" s="45"/>
      <c r="H87" s="45"/>
      <c r="I87" s="8" t="n">
        <f aca="false">+B87*E87*C87</f>
        <v>583.049999999999</v>
      </c>
      <c r="J87" s="8" t="n">
        <f aca="false">+I87+J86</f>
        <v>24763.295</v>
      </c>
      <c r="K87" s="8" t="n">
        <f aca="false">+MROUND(I87/30,0.5)</f>
        <v>19.5</v>
      </c>
    </row>
    <row r="88" customFormat="false" ht="14.25" hidden="false" customHeight="false" outlineLevel="0" collapsed="false">
      <c r="A88" s="42" t="n">
        <f aca="false">+A87+1</f>
        <v>46031</v>
      </c>
      <c r="B88" s="8" t="n">
        <f aca="false">+B87+D87</f>
        <v>85.0999999999999</v>
      </c>
      <c r="C88" s="44" t="n">
        <f aca="false">+C87</f>
        <v>230</v>
      </c>
      <c r="D88" s="9" t="n">
        <f aca="false">+PRECOZ!C70</f>
        <v>0.6</v>
      </c>
      <c r="E88" s="10" t="n">
        <f aca="false">+PRECOZ!D70</f>
        <v>0.03</v>
      </c>
      <c r="F88" s="45"/>
      <c r="G88" s="45"/>
      <c r="H88" s="45"/>
      <c r="I88" s="8" t="n">
        <f aca="false">+B88*E88*C88</f>
        <v>587.189999999999</v>
      </c>
      <c r="J88" s="8" t="n">
        <f aca="false">+I88+J87</f>
        <v>25350.485</v>
      </c>
      <c r="K88" s="8" t="n">
        <f aca="false">+MROUND(I88/30,0.5)</f>
        <v>19.5</v>
      </c>
    </row>
    <row r="89" customFormat="false" ht="14.25" hidden="false" customHeight="false" outlineLevel="0" collapsed="false">
      <c r="A89" s="42" t="n">
        <f aca="false">+A88+1</f>
        <v>46032</v>
      </c>
      <c r="B89" s="8" t="n">
        <f aca="false">+B88+D88</f>
        <v>85.6999999999999</v>
      </c>
      <c r="C89" s="44" t="n">
        <f aca="false">+C88</f>
        <v>230</v>
      </c>
      <c r="D89" s="9" t="n">
        <f aca="false">+PRECOZ!C71</f>
        <v>0.6</v>
      </c>
      <c r="E89" s="10" t="n">
        <f aca="false">+PRECOZ!D71</f>
        <v>0.03</v>
      </c>
      <c r="F89" s="45"/>
      <c r="G89" s="45"/>
      <c r="H89" s="45"/>
      <c r="I89" s="8" t="n">
        <f aca="false">+B89*E89*C89</f>
        <v>591.329999999999</v>
      </c>
      <c r="J89" s="8" t="n">
        <f aca="false">+I89+J88</f>
        <v>25941.815</v>
      </c>
      <c r="K89" s="8" t="n">
        <f aca="false">+MROUND(I89/30,0.5)</f>
        <v>19.5</v>
      </c>
    </row>
    <row r="90" customFormat="false" ht="14.25" hidden="false" customHeight="false" outlineLevel="0" collapsed="false">
      <c r="A90" s="42" t="n">
        <f aca="false">+A89+1</f>
        <v>46033</v>
      </c>
      <c r="B90" s="8" t="n">
        <f aca="false">+B89+D89</f>
        <v>86.2999999999999</v>
      </c>
      <c r="C90" s="44" t="n">
        <f aca="false">+C89</f>
        <v>230</v>
      </c>
      <c r="D90" s="9" t="n">
        <f aca="false">+PRECOZ!C72</f>
        <v>0.6</v>
      </c>
      <c r="E90" s="10" t="n">
        <f aca="false">+PRECOZ!D72</f>
        <v>0.03</v>
      </c>
      <c r="F90" s="45"/>
      <c r="G90" s="45"/>
      <c r="H90" s="45"/>
      <c r="I90" s="8" t="n">
        <f aca="false">+B90*E90*C90</f>
        <v>595.469999999999</v>
      </c>
      <c r="J90" s="8" t="n">
        <f aca="false">+I90+J89</f>
        <v>26537.285</v>
      </c>
      <c r="K90" s="8" t="n">
        <f aca="false">+MROUND(I90/30,0.5)</f>
        <v>20</v>
      </c>
    </row>
    <row r="91" customFormat="false" ht="14.25" hidden="false" customHeight="false" outlineLevel="0" collapsed="false">
      <c r="A91" s="42" t="n">
        <f aca="false">+A90+1</f>
        <v>46034</v>
      </c>
      <c r="B91" s="8" t="n">
        <f aca="false">+B90+D90</f>
        <v>86.8999999999999</v>
      </c>
      <c r="C91" s="44" t="n">
        <f aca="false">+C90</f>
        <v>230</v>
      </c>
      <c r="D91" s="9" t="n">
        <f aca="false">+PRECOZ!C73</f>
        <v>0.6</v>
      </c>
      <c r="E91" s="10" t="n">
        <f aca="false">+PRECOZ!D73</f>
        <v>0.03</v>
      </c>
      <c r="F91" s="45"/>
      <c r="G91" s="45"/>
      <c r="H91" s="45"/>
      <c r="I91" s="8" t="n">
        <f aca="false">+B91*E91*C91</f>
        <v>599.609999999999</v>
      </c>
      <c r="J91" s="8" t="n">
        <f aca="false">+I91+J90</f>
        <v>27136.895</v>
      </c>
      <c r="K91" s="8" t="n">
        <f aca="false">+MROUND(I91/30,0.5)</f>
        <v>20</v>
      </c>
    </row>
    <row r="92" customFormat="false" ht="14.25" hidden="false" customHeight="false" outlineLevel="0" collapsed="false">
      <c r="A92" s="42" t="n">
        <f aca="false">+A91+1</f>
        <v>46035</v>
      </c>
      <c r="B92" s="8" t="n">
        <f aca="false">+B91+D91</f>
        <v>87.4999999999998</v>
      </c>
      <c r="C92" s="44" t="n">
        <f aca="false">+C91</f>
        <v>230</v>
      </c>
      <c r="D92" s="9" t="n">
        <f aca="false">+PRECOZ!C74</f>
        <v>0.6</v>
      </c>
      <c r="E92" s="10" t="n">
        <f aca="false">+PRECOZ!D74</f>
        <v>0.03</v>
      </c>
      <c r="F92" s="45"/>
      <c r="G92" s="45"/>
      <c r="H92" s="45"/>
      <c r="I92" s="8" t="n">
        <f aca="false">+B92*E92*C92</f>
        <v>603.749999999999</v>
      </c>
      <c r="J92" s="8" t="n">
        <f aca="false">+I92+J91</f>
        <v>27740.645</v>
      </c>
      <c r="K92" s="8" t="n">
        <f aca="false">+MROUND(I92/30,0.5)</f>
        <v>20</v>
      </c>
    </row>
    <row r="93" customFormat="false" ht="14.25" hidden="false" customHeight="false" outlineLevel="0" collapsed="false">
      <c r="A93" s="42" t="n">
        <f aca="false">+A92+1</f>
        <v>46036</v>
      </c>
      <c r="B93" s="8" t="n">
        <f aca="false">+B92+D92</f>
        <v>88.0999999999998</v>
      </c>
      <c r="C93" s="44" t="n">
        <f aca="false">+C92</f>
        <v>230</v>
      </c>
      <c r="D93" s="9" t="n">
        <f aca="false">+PRECOZ!C75</f>
        <v>0.6</v>
      </c>
      <c r="E93" s="10" t="n">
        <f aca="false">+PRECOZ!D75</f>
        <v>0.03</v>
      </c>
      <c r="F93" s="45"/>
      <c r="G93" s="45"/>
      <c r="H93" s="45"/>
      <c r="I93" s="8" t="n">
        <f aca="false">+B93*E93*C93</f>
        <v>607.889999999999</v>
      </c>
      <c r="J93" s="8" t="n">
        <f aca="false">+I93+J92</f>
        <v>28348.535</v>
      </c>
      <c r="K93" s="8" t="n">
        <f aca="false">+MROUND(I93/30,0.5)</f>
        <v>20.5</v>
      </c>
    </row>
    <row r="94" customFormat="false" ht="14.25" hidden="false" customHeight="false" outlineLevel="0" collapsed="false">
      <c r="A94" s="42" t="n">
        <f aca="false">+A93+1</f>
        <v>46037</v>
      </c>
      <c r="B94" s="8" t="n">
        <f aca="false">+B93+D93</f>
        <v>88.6999999999998</v>
      </c>
      <c r="C94" s="44" t="n">
        <f aca="false">+C93</f>
        <v>230</v>
      </c>
      <c r="D94" s="9" t="n">
        <f aca="false">+PRECOZ!C76</f>
        <v>0.6</v>
      </c>
      <c r="E94" s="10" t="n">
        <f aca="false">+PRECOZ!D76</f>
        <v>0.03</v>
      </c>
      <c r="F94" s="45"/>
      <c r="G94" s="45"/>
      <c r="H94" s="45"/>
      <c r="I94" s="8" t="n">
        <f aca="false">+B94*E94*C94</f>
        <v>612.029999999999</v>
      </c>
      <c r="J94" s="8" t="n">
        <f aca="false">+I94+J93</f>
        <v>28960.565</v>
      </c>
      <c r="K94" s="8" t="n">
        <f aca="false">+MROUND(I94/30,0.5)</f>
        <v>20.5</v>
      </c>
    </row>
    <row r="95" customFormat="false" ht="14.25" hidden="false" customHeight="false" outlineLevel="0" collapsed="false">
      <c r="A95" s="42" t="n">
        <f aca="false">+A94+1</f>
        <v>46038</v>
      </c>
      <c r="B95" s="8" t="n">
        <f aca="false">+B94+D94</f>
        <v>89.2999999999998</v>
      </c>
      <c r="C95" s="44" t="n">
        <f aca="false">+C94</f>
        <v>230</v>
      </c>
      <c r="D95" s="9" t="n">
        <f aca="false">+PRECOZ!C77</f>
        <v>0.65</v>
      </c>
      <c r="E95" s="10" t="n">
        <f aca="false">+PRECOZ!D77</f>
        <v>0.03</v>
      </c>
      <c r="F95" s="45"/>
      <c r="G95" s="45"/>
      <c r="H95" s="45"/>
      <c r="I95" s="8" t="n">
        <f aca="false">+B95*E95*C95</f>
        <v>616.169999999999</v>
      </c>
      <c r="J95" s="8" t="n">
        <f aca="false">+I95+J94</f>
        <v>29576.735</v>
      </c>
      <c r="K95" s="8" t="n">
        <f aca="false">+MROUND(I95/30,0.5)</f>
        <v>20.5</v>
      </c>
    </row>
    <row r="96" customFormat="false" ht="14.25" hidden="false" customHeight="false" outlineLevel="0" collapsed="false">
      <c r="A96" s="42" t="n">
        <f aca="false">+A95+1</f>
        <v>46039</v>
      </c>
      <c r="B96" s="8" t="n">
        <f aca="false">+B95+D95</f>
        <v>89.9499999999998</v>
      </c>
      <c r="C96" s="44" t="n">
        <f aca="false">+C95</f>
        <v>230</v>
      </c>
      <c r="D96" s="9" t="n">
        <f aca="false">+PRECOZ!C78</f>
        <v>0.65</v>
      </c>
      <c r="E96" s="10" t="n">
        <f aca="false">+PRECOZ!D78</f>
        <v>0.03</v>
      </c>
      <c r="F96" s="45"/>
      <c r="G96" s="45"/>
      <c r="H96" s="45"/>
      <c r="I96" s="8" t="n">
        <f aca="false">+B96*E96*C96</f>
        <v>620.654999999999</v>
      </c>
      <c r="J96" s="8" t="n">
        <f aca="false">+I96+J95</f>
        <v>30197.39</v>
      </c>
      <c r="K96" s="8" t="n">
        <f aca="false">+MROUND(I96/30,0.5)</f>
        <v>20.5</v>
      </c>
    </row>
    <row r="97" customFormat="false" ht="14.25" hidden="false" customHeight="false" outlineLevel="0" collapsed="false">
      <c r="A97" s="42" t="n">
        <f aca="false">+A96+1</f>
        <v>46040</v>
      </c>
      <c r="B97" s="8" t="n">
        <f aca="false">+B96+D96</f>
        <v>90.5999999999998</v>
      </c>
      <c r="C97" s="44" t="n">
        <f aca="false">+C96</f>
        <v>230</v>
      </c>
      <c r="D97" s="9" t="n">
        <f aca="false">+PRECOZ!C79</f>
        <v>0.65</v>
      </c>
      <c r="E97" s="10" t="n">
        <f aca="false">+PRECOZ!D79</f>
        <v>0.03</v>
      </c>
      <c r="F97" s="45"/>
      <c r="G97" s="45"/>
      <c r="H97" s="45"/>
      <c r="I97" s="8" t="n">
        <f aca="false">+B97*E97*C97</f>
        <v>625.139999999999</v>
      </c>
      <c r="J97" s="8" t="n">
        <f aca="false">+I97+J96</f>
        <v>30822.53</v>
      </c>
      <c r="K97" s="8" t="n">
        <f aca="false">+MROUND(I97/30,0.5)</f>
        <v>21</v>
      </c>
    </row>
    <row r="98" customFormat="false" ht="14.25" hidden="false" customHeight="false" outlineLevel="0" collapsed="false">
      <c r="A98" s="42" t="n">
        <f aca="false">+A97+1</f>
        <v>46041</v>
      </c>
      <c r="B98" s="8" t="n">
        <f aca="false">+B97+D97</f>
        <v>91.2499999999998</v>
      </c>
      <c r="C98" s="44" t="n">
        <f aca="false">+C97</f>
        <v>230</v>
      </c>
      <c r="D98" s="9" t="n">
        <f aca="false">+PRECOZ!C80</f>
        <v>0.65</v>
      </c>
      <c r="E98" s="10" t="n">
        <f aca="false">+PRECOZ!D80</f>
        <v>0.03</v>
      </c>
      <c r="F98" s="45"/>
      <c r="G98" s="45"/>
      <c r="H98" s="45"/>
      <c r="I98" s="8" t="n">
        <f aca="false">+B98*E98*C98</f>
        <v>629.624999999999</v>
      </c>
      <c r="J98" s="8" t="n">
        <f aca="false">+I98+J97</f>
        <v>31452.155</v>
      </c>
      <c r="K98" s="8" t="n">
        <f aca="false">+MROUND(I98/30,0.5)</f>
        <v>21</v>
      </c>
    </row>
    <row r="99" customFormat="false" ht="14.25" hidden="false" customHeight="false" outlineLevel="0" collapsed="false">
      <c r="A99" s="42" t="n">
        <f aca="false">+A98+1</f>
        <v>46042</v>
      </c>
      <c r="B99" s="8" t="n">
        <f aca="false">+B98+D98</f>
        <v>91.8999999999999</v>
      </c>
      <c r="C99" s="44" t="n">
        <f aca="false">+C98</f>
        <v>230</v>
      </c>
      <c r="D99" s="9" t="n">
        <f aca="false">+PRECOZ!C81</f>
        <v>0.65</v>
      </c>
      <c r="E99" s="10" t="n">
        <f aca="false">+PRECOZ!D81</f>
        <v>0.03</v>
      </c>
      <c r="F99" s="45"/>
      <c r="G99" s="45"/>
      <c r="H99" s="45"/>
      <c r="I99" s="8" t="n">
        <f aca="false">+B99*E99*C99</f>
        <v>634.109999999999</v>
      </c>
      <c r="J99" s="8" t="n">
        <f aca="false">+I99+J98</f>
        <v>32086.265</v>
      </c>
      <c r="K99" s="8" t="n">
        <f aca="false">+MROUND(I99/30,0.5)</f>
        <v>21</v>
      </c>
    </row>
    <row r="100" customFormat="false" ht="14.25" hidden="false" customHeight="false" outlineLevel="0" collapsed="false">
      <c r="A100" s="42" t="n">
        <f aca="false">+A99+1</f>
        <v>46043</v>
      </c>
      <c r="B100" s="8" t="n">
        <f aca="false">+B99+D99</f>
        <v>92.5499999999999</v>
      </c>
      <c r="C100" s="44" t="n">
        <f aca="false">+C99</f>
        <v>230</v>
      </c>
      <c r="D100" s="9" t="n">
        <f aca="false">+PRECOZ!C82</f>
        <v>0.65</v>
      </c>
      <c r="E100" s="10" t="n">
        <f aca="false">+PRECOZ!D82</f>
        <v>0.03</v>
      </c>
      <c r="F100" s="45"/>
      <c r="G100" s="45"/>
      <c r="H100" s="45"/>
      <c r="I100" s="8" t="n">
        <f aca="false">+B100*E100*C100</f>
        <v>638.594999999999</v>
      </c>
      <c r="J100" s="8" t="n">
        <f aca="false">+I100+J99</f>
        <v>32724.86</v>
      </c>
      <c r="K100" s="8" t="n">
        <f aca="false">+MROUND(I100/30,0.5)</f>
        <v>21.5</v>
      </c>
    </row>
    <row r="101" customFormat="false" ht="14.25" hidden="false" customHeight="false" outlineLevel="0" collapsed="false">
      <c r="A101" s="42" t="n">
        <f aca="false">+A100+1</f>
        <v>46044</v>
      </c>
      <c r="B101" s="8" t="n">
        <f aca="false">+B100+D100</f>
        <v>93.1999999999999</v>
      </c>
      <c r="C101" s="44" t="n">
        <f aca="false">+C100</f>
        <v>230</v>
      </c>
      <c r="D101" s="9" t="n">
        <f aca="false">+PRECOZ!C83</f>
        <v>0.65</v>
      </c>
      <c r="E101" s="10" t="n">
        <f aca="false">+PRECOZ!D83</f>
        <v>0.03</v>
      </c>
      <c r="F101" s="45"/>
      <c r="G101" s="45"/>
      <c r="H101" s="45"/>
      <c r="I101" s="8" t="n">
        <f aca="false">+B101*E101*C101</f>
        <v>643.079999999999</v>
      </c>
      <c r="J101" s="8" t="n">
        <f aca="false">+I101+J100</f>
        <v>33367.94</v>
      </c>
      <c r="K101" s="8" t="n">
        <f aca="false">+MROUND(I101/30,0.5)</f>
        <v>21.5</v>
      </c>
    </row>
    <row r="102" customFormat="false" ht="14.25" hidden="false" customHeight="false" outlineLevel="0" collapsed="false">
      <c r="A102" s="42" t="n">
        <f aca="false">+A101+1</f>
        <v>46045</v>
      </c>
      <c r="B102" s="8" t="n">
        <f aca="false">+B101+D101</f>
        <v>93.8499999999999</v>
      </c>
      <c r="C102" s="44" t="n">
        <f aca="false">+C101</f>
        <v>230</v>
      </c>
      <c r="D102" s="9" t="n">
        <f aca="false">+PRECOZ!C84</f>
        <v>0.65</v>
      </c>
      <c r="E102" s="10" t="n">
        <f aca="false">+PRECOZ!D84</f>
        <v>0.03</v>
      </c>
      <c r="F102" s="45"/>
      <c r="G102" s="45"/>
      <c r="H102" s="45"/>
      <c r="I102" s="8" t="n">
        <f aca="false">+B102*E102*C102</f>
        <v>647.564999999999</v>
      </c>
      <c r="J102" s="8" t="n">
        <f aca="false">+I102+J101</f>
        <v>34015.505</v>
      </c>
      <c r="K102" s="8" t="n">
        <f aca="false">+MROUND(I102/30,0.5)</f>
        <v>21.5</v>
      </c>
    </row>
    <row r="103" customFormat="false" ht="14.25" hidden="false" customHeight="false" outlineLevel="0" collapsed="false">
      <c r="A103" s="42" t="n">
        <f aca="false">+A102+1</f>
        <v>46046</v>
      </c>
      <c r="B103" s="8" t="n">
        <f aca="false">+B102+D102</f>
        <v>94.4999999999999</v>
      </c>
      <c r="C103" s="44" t="n">
        <f aca="false">+C102</f>
        <v>230</v>
      </c>
      <c r="D103" s="9" t="n">
        <f aca="false">+PRECOZ!C85</f>
        <v>0.65</v>
      </c>
      <c r="E103" s="10" t="n">
        <f aca="false">+PRECOZ!D85</f>
        <v>0.03</v>
      </c>
      <c r="F103" s="45"/>
      <c r="G103" s="45"/>
      <c r="H103" s="45"/>
      <c r="I103" s="8" t="n">
        <f aca="false">+B103*E103*C103</f>
        <v>652.049999999999</v>
      </c>
      <c r="J103" s="8" t="n">
        <f aca="false">+I103+J102</f>
        <v>34667.555</v>
      </c>
      <c r="K103" s="8" t="n">
        <f aca="false">+MROUND(I103/30,0.5)</f>
        <v>21.5</v>
      </c>
    </row>
    <row r="104" customFormat="false" ht="14.25" hidden="false" customHeight="false" outlineLevel="0" collapsed="false">
      <c r="A104" s="42" t="n">
        <f aca="false">+A103+1</f>
        <v>46047</v>
      </c>
      <c r="B104" s="8" t="n">
        <f aca="false">+B103+D103</f>
        <v>95.1499999999999</v>
      </c>
      <c r="C104" s="44" t="n">
        <f aca="false">+C103</f>
        <v>230</v>
      </c>
      <c r="D104" s="9" t="n">
        <f aca="false">+PRECOZ!C86</f>
        <v>0.65</v>
      </c>
      <c r="E104" s="10" t="n">
        <f aca="false">+PRECOZ!D86</f>
        <v>0.03</v>
      </c>
      <c r="F104" s="45"/>
      <c r="G104" s="45"/>
      <c r="H104" s="45"/>
      <c r="I104" s="8" t="n">
        <f aca="false">+B104*E104*C104</f>
        <v>656.534999999999</v>
      </c>
      <c r="J104" s="8" t="n">
        <f aca="false">+I104+J103</f>
        <v>35324.09</v>
      </c>
      <c r="K104" s="8" t="n">
        <f aca="false">+MROUND(I104/30,0.5)</f>
        <v>22</v>
      </c>
    </row>
    <row r="105" customFormat="false" ht="14.25" hidden="false" customHeight="false" outlineLevel="0" collapsed="false">
      <c r="A105" s="42" t="n">
        <f aca="false">+A104+1</f>
        <v>46048</v>
      </c>
      <c r="B105" s="8" t="n">
        <f aca="false">+B104+D104</f>
        <v>95.7999999999999</v>
      </c>
      <c r="C105" s="44" t="n">
        <f aca="false">+C104</f>
        <v>230</v>
      </c>
      <c r="D105" s="9" t="n">
        <f aca="false">+PRECOZ!C87</f>
        <v>0.65</v>
      </c>
      <c r="E105" s="10" t="n">
        <f aca="false">+PRECOZ!D87</f>
        <v>0.03</v>
      </c>
      <c r="F105" s="45"/>
      <c r="G105" s="45"/>
      <c r="H105" s="45"/>
      <c r="I105" s="8" t="n">
        <f aca="false">+B105*E105*C105</f>
        <v>661.019999999999</v>
      </c>
      <c r="J105" s="8" t="n">
        <f aca="false">+I105+J104</f>
        <v>35985.11</v>
      </c>
      <c r="K105" s="8" t="n">
        <f aca="false">+MROUND(I105/30,0.5)</f>
        <v>22</v>
      </c>
    </row>
    <row r="106" customFormat="false" ht="14.25" hidden="false" customHeight="false" outlineLevel="0" collapsed="false">
      <c r="A106" s="42" t="n">
        <f aca="false">+A105+1</f>
        <v>46049</v>
      </c>
      <c r="B106" s="8" t="n">
        <f aca="false">+B105+D105</f>
        <v>96.4499999999999</v>
      </c>
      <c r="C106" s="44" t="n">
        <f aca="false">+C105</f>
        <v>230</v>
      </c>
      <c r="D106" s="9" t="n">
        <f aca="false">+PRECOZ!C88</f>
        <v>0.65</v>
      </c>
      <c r="E106" s="10" t="n">
        <f aca="false">+PRECOZ!D88</f>
        <v>0.03</v>
      </c>
      <c r="F106" s="45"/>
      <c r="G106" s="45"/>
      <c r="H106" s="45"/>
      <c r="I106" s="8" t="n">
        <f aca="false">+B106*E106*C106</f>
        <v>665.504999999999</v>
      </c>
      <c r="J106" s="8" t="n">
        <f aca="false">+I106+J105</f>
        <v>36650.615</v>
      </c>
      <c r="K106" s="8" t="n">
        <f aca="false">+MROUND(I106/30,0.5)</f>
        <v>22</v>
      </c>
    </row>
    <row r="107" customFormat="false" ht="14.25" hidden="false" customHeight="false" outlineLevel="0" collapsed="false">
      <c r="A107" s="42" t="n">
        <f aca="false">+A106+1</f>
        <v>46050</v>
      </c>
      <c r="B107" s="8" t="n">
        <f aca="false">+B106+D106</f>
        <v>97.0999999999999</v>
      </c>
      <c r="C107" s="44" t="n">
        <f aca="false">+C106</f>
        <v>230</v>
      </c>
      <c r="D107" s="9" t="n">
        <f aca="false">+PRECOZ!C89</f>
        <v>0.65</v>
      </c>
      <c r="E107" s="10" t="n">
        <f aca="false">+PRECOZ!D89</f>
        <v>0.03</v>
      </c>
      <c r="F107" s="45"/>
      <c r="G107" s="45"/>
      <c r="H107" s="45"/>
      <c r="I107" s="8" t="n">
        <f aca="false">+B107*E107*C107</f>
        <v>669.989999999999</v>
      </c>
      <c r="J107" s="8" t="n">
        <f aca="false">+I107+J106</f>
        <v>37320.605</v>
      </c>
      <c r="K107" s="8" t="n">
        <f aca="false">+MROUND(I107/30,0.5)</f>
        <v>22.5</v>
      </c>
    </row>
    <row r="108" customFormat="false" ht="14.25" hidden="false" customHeight="false" outlineLevel="0" collapsed="false">
      <c r="A108" s="42" t="n">
        <f aca="false">+A107+1</f>
        <v>46051</v>
      </c>
      <c r="B108" s="8" t="n">
        <f aca="false">+B107+D107</f>
        <v>97.7499999999999</v>
      </c>
      <c r="C108" s="44" t="n">
        <f aca="false">+C107</f>
        <v>230</v>
      </c>
      <c r="D108" s="9" t="n">
        <f aca="false">+PRECOZ!C90</f>
        <v>0.65</v>
      </c>
      <c r="E108" s="10" t="n">
        <f aca="false">+PRECOZ!D90</f>
        <v>0.03</v>
      </c>
      <c r="F108" s="45"/>
      <c r="G108" s="45"/>
      <c r="H108" s="45"/>
      <c r="I108" s="8" t="n">
        <f aca="false">+B108*E108*C108</f>
        <v>674.474999999999</v>
      </c>
      <c r="J108" s="8" t="n">
        <f aca="false">+I108+J107</f>
        <v>37995.0799999999</v>
      </c>
      <c r="K108" s="8" t="n">
        <f aca="false">+MROUND(I108/30,0.5)</f>
        <v>22.5</v>
      </c>
    </row>
    <row r="109" customFormat="false" ht="14.25" hidden="false" customHeight="false" outlineLevel="0" collapsed="false">
      <c r="A109" s="42" t="n">
        <f aca="false">+A108+1</f>
        <v>46052</v>
      </c>
      <c r="B109" s="8" t="n">
        <f aca="false">+B108+D108</f>
        <v>98.3999999999999</v>
      </c>
      <c r="C109" s="44" t="n">
        <f aca="false">+C108</f>
        <v>230</v>
      </c>
      <c r="D109" s="9" t="n">
        <f aca="false">+PRECOZ!C91</f>
        <v>0.65</v>
      </c>
      <c r="E109" s="10" t="n">
        <f aca="false">+PRECOZ!D91</f>
        <v>0.03</v>
      </c>
      <c r="F109" s="45"/>
      <c r="G109" s="45"/>
      <c r="H109" s="45"/>
      <c r="I109" s="8" t="n">
        <f aca="false">+B109*E109*C109</f>
        <v>678.959999999999</v>
      </c>
      <c r="J109" s="8" t="n">
        <f aca="false">+I109+J108</f>
        <v>38674.04</v>
      </c>
      <c r="K109" s="8" t="n">
        <f aca="false">+MROUND(I109/30,0.5)</f>
        <v>22.5</v>
      </c>
    </row>
    <row r="110" customFormat="false" ht="14.25" hidden="false" customHeight="false" outlineLevel="0" collapsed="false">
      <c r="A110" s="42" t="n">
        <f aca="false">+A109+1</f>
        <v>46053</v>
      </c>
      <c r="B110" s="8" t="n">
        <f aca="false">+B109+D109</f>
        <v>99.0499999999999</v>
      </c>
      <c r="C110" s="44" t="n">
        <f aca="false">+C109</f>
        <v>230</v>
      </c>
      <c r="D110" s="9" t="n">
        <f aca="false">+PRECOZ!C92</f>
        <v>0.65</v>
      </c>
      <c r="E110" s="10" t="n">
        <f aca="false">+PRECOZ!D92</f>
        <v>0.03</v>
      </c>
      <c r="F110" s="45"/>
      <c r="G110" s="45"/>
      <c r="H110" s="45"/>
      <c r="I110" s="8" t="n">
        <f aca="false">+B110*E110*C110</f>
        <v>683.444999999999</v>
      </c>
      <c r="J110" s="8" t="n">
        <f aca="false">+I110+J109</f>
        <v>39357.4849999999</v>
      </c>
      <c r="K110" s="8" t="n">
        <f aca="false">+MROUND(I110/30,0.5)</f>
        <v>23</v>
      </c>
    </row>
    <row r="111" customFormat="false" ht="14.25" hidden="false" customHeight="false" outlineLevel="0" collapsed="false">
      <c r="A111" s="42" t="n">
        <f aca="false">+A110+1</f>
        <v>46054</v>
      </c>
      <c r="B111" s="8" t="n">
        <f aca="false">+B110+D110</f>
        <v>99.6999999999999</v>
      </c>
      <c r="C111" s="44" t="n">
        <f aca="false">+C110</f>
        <v>230</v>
      </c>
      <c r="D111" s="9" t="n">
        <f aca="false">+PRECOZ!C93</f>
        <v>0.65</v>
      </c>
      <c r="E111" s="10" t="n">
        <f aca="false">+PRECOZ!D93</f>
        <v>0.03</v>
      </c>
      <c r="F111" s="45"/>
      <c r="G111" s="45"/>
      <c r="H111" s="45"/>
      <c r="I111" s="8" t="n">
        <f aca="false">+B111*E111*C111</f>
        <v>687.929999999999</v>
      </c>
      <c r="J111" s="8" t="n">
        <f aca="false">+I111+J110</f>
        <v>40045.415</v>
      </c>
      <c r="K111" s="8" t="n">
        <f aca="false">+MROUND(I111/30,0.5)</f>
        <v>23</v>
      </c>
    </row>
    <row r="112" customFormat="false" ht="14.25" hidden="false" customHeight="false" outlineLevel="0" collapsed="false">
      <c r="A112" s="42" t="n">
        <f aca="false">+A111+1</f>
        <v>46055</v>
      </c>
      <c r="B112" s="8" t="n">
        <f aca="false">+B111+D111</f>
        <v>100.35</v>
      </c>
      <c r="C112" s="44" t="n">
        <f aca="false">+C111</f>
        <v>230</v>
      </c>
      <c r="D112" s="9" t="n">
        <f aca="false">+PRECOZ!C94</f>
        <v>0.65</v>
      </c>
      <c r="E112" s="10" t="n">
        <f aca="false">+PRECOZ!D94</f>
        <v>0.03</v>
      </c>
      <c r="F112" s="45"/>
      <c r="G112" s="45"/>
      <c r="H112" s="45"/>
      <c r="I112" s="8" t="n">
        <f aca="false">+B112*E112*C112</f>
        <v>692.415</v>
      </c>
      <c r="J112" s="8" t="n">
        <f aca="false">+I112+J111</f>
        <v>40737.83</v>
      </c>
      <c r="K112" s="8" t="n">
        <f aca="false">+MROUND(I112/30,0.5)</f>
        <v>23</v>
      </c>
    </row>
    <row r="113" customFormat="false" ht="14.25" hidden="false" customHeight="false" outlineLevel="0" collapsed="false">
      <c r="A113" s="42" t="n">
        <f aca="false">+A112+1</f>
        <v>46056</v>
      </c>
      <c r="B113" s="8" t="n">
        <f aca="false">+B112+D112</f>
        <v>101</v>
      </c>
      <c r="C113" s="44" t="n">
        <f aca="false">+C112</f>
        <v>230</v>
      </c>
      <c r="D113" s="9" t="n">
        <f aca="false">+PRECOZ!C95</f>
        <v>0.65</v>
      </c>
      <c r="E113" s="10" t="n">
        <f aca="false">+PRECOZ!D95</f>
        <v>0.03</v>
      </c>
      <c r="F113" s="45"/>
      <c r="G113" s="45"/>
      <c r="H113" s="45"/>
      <c r="I113" s="8" t="n">
        <f aca="false">+B113*E113*C113</f>
        <v>696.899999999999</v>
      </c>
      <c r="J113" s="8" t="n">
        <f aca="false">+I113+J112</f>
        <v>41434.73</v>
      </c>
      <c r="K113" s="8" t="n">
        <f aca="false">+MROUND(I113/30,0.5)</f>
        <v>23</v>
      </c>
    </row>
    <row r="114" customFormat="false" ht="14.25" hidden="false" customHeight="false" outlineLevel="0" collapsed="false">
      <c r="A114" s="42" t="n">
        <f aca="false">+A113+1</f>
        <v>46057</v>
      </c>
      <c r="B114" s="8" t="n">
        <f aca="false">+B113+D113</f>
        <v>101.65</v>
      </c>
      <c r="C114" s="44" t="n">
        <f aca="false">+C113</f>
        <v>230</v>
      </c>
      <c r="D114" s="9" t="n">
        <f aca="false">+PRECOZ!C96</f>
        <v>0.65</v>
      </c>
      <c r="E114" s="10" t="n">
        <f aca="false">+PRECOZ!D96</f>
        <v>0.03</v>
      </c>
      <c r="F114" s="45"/>
      <c r="G114" s="45"/>
      <c r="H114" s="45"/>
      <c r="I114" s="8" t="n">
        <f aca="false">+B114*E114*C114</f>
        <v>701.385</v>
      </c>
      <c r="J114" s="8" t="n">
        <f aca="false">+I114+J113</f>
        <v>42136.115</v>
      </c>
      <c r="K114" s="8" t="n">
        <f aca="false">+MROUND(I114/30,0.5)</f>
        <v>23.5</v>
      </c>
    </row>
    <row r="115" customFormat="false" ht="14.25" hidden="false" customHeight="false" outlineLevel="0" collapsed="false">
      <c r="A115" s="42" t="n">
        <f aca="false">+A114+1</f>
        <v>46058</v>
      </c>
      <c r="B115" s="8" t="n">
        <f aca="false">+B114+D114</f>
        <v>102.3</v>
      </c>
      <c r="C115" s="44" t="n">
        <f aca="false">+C114</f>
        <v>230</v>
      </c>
      <c r="D115" s="9" t="n">
        <f aca="false">+PRECOZ!C97</f>
        <v>0.65</v>
      </c>
      <c r="E115" s="10" t="n">
        <f aca="false">+PRECOZ!D97</f>
        <v>0.03</v>
      </c>
      <c r="F115" s="45"/>
      <c r="G115" s="45"/>
      <c r="H115" s="45"/>
      <c r="I115" s="8" t="n">
        <f aca="false">+B115*E115*C115</f>
        <v>705.87</v>
      </c>
      <c r="J115" s="8" t="n">
        <f aca="false">+I115+J114</f>
        <v>42841.985</v>
      </c>
      <c r="K115" s="8" t="n">
        <f aca="false">+MROUND(I115/30,0.5)</f>
        <v>23.5</v>
      </c>
    </row>
    <row r="116" customFormat="false" ht="14.25" hidden="false" customHeight="false" outlineLevel="0" collapsed="false">
      <c r="A116" s="42" t="n">
        <f aca="false">+A115+1</f>
        <v>46059</v>
      </c>
      <c r="B116" s="8" t="n">
        <f aca="false">+B115+D115</f>
        <v>102.95</v>
      </c>
      <c r="C116" s="44" t="n">
        <f aca="false">+C115</f>
        <v>230</v>
      </c>
      <c r="D116" s="9" t="n">
        <f aca="false">+PRECOZ!C98</f>
        <v>0.65</v>
      </c>
      <c r="E116" s="10" t="n">
        <f aca="false">+PRECOZ!D98</f>
        <v>0.03</v>
      </c>
      <c r="F116" s="45"/>
      <c r="G116" s="45"/>
      <c r="H116" s="45"/>
      <c r="I116" s="8" t="n">
        <f aca="false">+B116*E116*C116</f>
        <v>710.355</v>
      </c>
      <c r="J116" s="8" t="n">
        <f aca="false">+I116+J115</f>
        <v>43552.34</v>
      </c>
      <c r="K116" s="8" t="n">
        <f aca="false">+MROUND(I116/30,0.5)</f>
        <v>23.5</v>
      </c>
    </row>
    <row r="117" customFormat="false" ht="14.25" hidden="false" customHeight="false" outlineLevel="0" collapsed="false">
      <c r="A117" s="42" t="n">
        <f aca="false">+A116+1</f>
        <v>46060</v>
      </c>
      <c r="B117" s="8" t="n">
        <f aca="false">+B116+D116</f>
        <v>103.6</v>
      </c>
      <c r="C117" s="44" t="n">
        <f aca="false">+C116</f>
        <v>230</v>
      </c>
      <c r="D117" s="9" t="n">
        <f aca="false">+PRECOZ!C99</f>
        <v>0.65</v>
      </c>
      <c r="E117" s="10" t="n">
        <f aca="false">+PRECOZ!D99</f>
        <v>0.03</v>
      </c>
      <c r="F117" s="45"/>
      <c r="G117" s="45"/>
      <c r="H117" s="45"/>
      <c r="I117" s="8" t="n">
        <f aca="false">+B117*E117*C117</f>
        <v>714.84</v>
      </c>
      <c r="J117" s="8" t="n">
        <f aca="false">+I117+J116</f>
        <v>44267.18</v>
      </c>
      <c r="K117" s="8" t="n">
        <f aca="false">+MROUND(I117/30,0.5)</f>
        <v>24</v>
      </c>
    </row>
    <row r="118" customFormat="false" ht="14.25" hidden="false" customHeight="false" outlineLevel="0" collapsed="false">
      <c r="A118" s="42" t="n">
        <f aca="false">+A117+1</f>
        <v>46061</v>
      </c>
      <c r="B118" s="8" t="n">
        <f aca="false">+B117+D117</f>
        <v>104.25</v>
      </c>
      <c r="C118" s="44" t="n">
        <f aca="false">+C117</f>
        <v>230</v>
      </c>
      <c r="D118" s="9" t="n">
        <f aca="false">+PRECOZ!C100</f>
        <v>0.65</v>
      </c>
      <c r="E118" s="10" t="n">
        <f aca="false">+PRECOZ!D100</f>
        <v>0.03</v>
      </c>
      <c r="F118" s="45"/>
      <c r="G118" s="45"/>
      <c r="H118" s="45"/>
      <c r="I118" s="8" t="n">
        <f aca="false">+B118*E118*C118</f>
        <v>719.325</v>
      </c>
      <c r="J118" s="8" t="n">
        <f aca="false">+I118+J117</f>
        <v>44986.505</v>
      </c>
      <c r="K118" s="8" t="n">
        <f aca="false">+MROUND(I118/30,0.5)</f>
        <v>24</v>
      </c>
    </row>
    <row r="119" customFormat="false" ht="14.25" hidden="false" customHeight="false" outlineLevel="0" collapsed="false">
      <c r="A119" s="42" t="n">
        <f aca="false">+A118+1</f>
        <v>46062</v>
      </c>
      <c r="B119" s="8" t="n">
        <f aca="false">+B118+D118</f>
        <v>104.9</v>
      </c>
      <c r="C119" s="44" t="n">
        <f aca="false">+C118</f>
        <v>230</v>
      </c>
      <c r="D119" s="9" t="n">
        <f aca="false">+PRECOZ!C101</f>
        <v>0.65</v>
      </c>
      <c r="E119" s="10" t="n">
        <f aca="false">+PRECOZ!D101</f>
        <v>0.03</v>
      </c>
      <c r="F119" s="45"/>
      <c r="G119" s="45"/>
      <c r="H119" s="45"/>
      <c r="I119" s="8" t="n">
        <f aca="false">+B119*E119*C119</f>
        <v>723.81</v>
      </c>
      <c r="J119" s="8" t="n">
        <f aca="false">+I119+J118</f>
        <v>45710.315</v>
      </c>
      <c r="K119" s="8" t="n">
        <f aca="false">+MROUND(I119/30,0.5)</f>
        <v>24</v>
      </c>
    </row>
    <row r="120" customFormat="false" ht="14.25" hidden="false" customHeight="false" outlineLevel="0" collapsed="false">
      <c r="A120" s="42" t="n">
        <f aca="false">+A119+1</f>
        <v>46063</v>
      </c>
      <c r="B120" s="8" t="n">
        <f aca="false">+B119+D119</f>
        <v>105.55</v>
      </c>
      <c r="C120" s="44" t="n">
        <f aca="false">+C119</f>
        <v>230</v>
      </c>
      <c r="D120" s="9" t="n">
        <f aca="false">+PRECOZ!C102</f>
        <v>0.7</v>
      </c>
      <c r="E120" s="10" t="n">
        <f aca="false">+PRECOZ!D102</f>
        <v>0.03</v>
      </c>
      <c r="F120" s="45"/>
      <c r="G120" s="45"/>
      <c r="H120" s="45"/>
      <c r="I120" s="8" t="n">
        <f aca="false">+B120*E120*C120</f>
        <v>728.295</v>
      </c>
      <c r="J120" s="8" t="n">
        <f aca="false">+I120+J119</f>
        <v>46438.61</v>
      </c>
      <c r="K120" s="8" t="n">
        <f aca="false">+MROUND(I120/30,0.5)</f>
        <v>24.5</v>
      </c>
    </row>
    <row r="121" customFormat="false" ht="14.25" hidden="false" customHeight="false" outlineLevel="0" collapsed="false">
      <c r="A121" s="42" t="n">
        <f aca="false">+A120+1</f>
        <v>46064</v>
      </c>
      <c r="B121" s="8" t="n">
        <f aca="false">+B120+D120</f>
        <v>106.25</v>
      </c>
      <c r="C121" s="44" t="n">
        <f aca="false">+C120</f>
        <v>230</v>
      </c>
      <c r="D121" s="9" t="n">
        <f aca="false">+PRECOZ!C103</f>
        <v>0.7</v>
      </c>
      <c r="E121" s="10" t="n">
        <f aca="false">+PRECOZ!D103</f>
        <v>0.03</v>
      </c>
      <c r="F121" s="45"/>
      <c r="G121" s="45"/>
      <c r="H121" s="45"/>
      <c r="I121" s="8" t="n">
        <f aca="false">+B121*E121*C121</f>
        <v>733.125</v>
      </c>
      <c r="J121" s="8" t="n">
        <f aca="false">+I121+J120</f>
        <v>47171.735</v>
      </c>
      <c r="K121" s="8" t="n">
        <f aca="false">+MROUND(I121/30,0.5)</f>
        <v>24.5</v>
      </c>
    </row>
    <row r="122" customFormat="false" ht="14.25" hidden="false" customHeight="false" outlineLevel="0" collapsed="false">
      <c r="A122" s="42" t="n">
        <f aca="false">+A121+1</f>
        <v>46065</v>
      </c>
      <c r="B122" s="8" t="n">
        <f aca="false">+B121+D121</f>
        <v>106.95</v>
      </c>
      <c r="C122" s="44" t="n">
        <f aca="false">+C121</f>
        <v>230</v>
      </c>
      <c r="D122" s="9" t="n">
        <f aca="false">+PRECOZ!C104</f>
        <v>0.7</v>
      </c>
      <c r="E122" s="10" t="n">
        <f aca="false">+PRECOZ!D104</f>
        <v>0.03</v>
      </c>
      <c r="F122" s="45"/>
      <c r="G122" s="45"/>
      <c r="H122" s="45"/>
      <c r="I122" s="8" t="n">
        <f aca="false">+B122*E122*C122</f>
        <v>737.955</v>
      </c>
      <c r="J122" s="8" t="n">
        <f aca="false">+I122+J121</f>
        <v>47909.69</v>
      </c>
      <c r="K122" s="8" t="n">
        <f aca="false">+MROUND(I122/30,0.5)</f>
        <v>24.5</v>
      </c>
    </row>
    <row r="123" customFormat="false" ht="14.25" hidden="false" customHeight="false" outlineLevel="0" collapsed="false">
      <c r="A123" s="42" t="n">
        <f aca="false">+A122+1</f>
        <v>46066</v>
      </c>
      <c r="B123" s="8" t="n">
        <f aca="false">+B122+D122</f>
        <v>107.65</v>
      </c>
      <c r="C123" s="44" t="n">
        <f aca="false">+C122</f>
        <v>230</v>
      </c>
      <c r="D123" s="9" t="n">
        <f aca="false">+PRECOZ!C105</f>
        <v>0.7</v>
      </c>
      <c r="E123" s="10" t="n">
        <f aca="false">+PRECOZ!D105</f>
        <v>0.03</v>
      </c>
      <c r="F123" s="45"/>
      <c r="G123" s="45"/>
      <c r="H123" s="45"/>
      <c r="I123" s="8" t="n">
        <f aca="false">+B123*E123*C123</f>
        <v>742.785</v>
      </c>
      <c r="J123" s="8" t="n">
        <f aca="false">+I123+J122</f>
        <v>48652.4749999999</v>
      </c>
      <c r="K123" s="8" t="n">
        <f aca="false">+MROUND(I123/30,0.5)</f>
        <v>25</v>
      </c>
    </row>
    <row r="124" customFormat="false" ht="14.25" hidden="false" customHeight="false" outlineLevel="0" collapsed="false">
      <c r="A124" s="42" t="n">
        <f aca="false">+A123+1</f>
        <v>46067</v>
      </c>
      <c r="B124" s="8" t="n">
        <f aca="false">+B123+D123</f>
        <v>108.35</v>
      </c>
      <c r="C124" s="44" t="n">
        <f aca="false">+C123</f>
        <v>230</v>
      </c>
      <c r="D124" s="9" t="n">
        <f aca="false">+PRECOZ!C106</f>
        <v>0.7</v>
      </c>
      <c r="E124" s="10" t="n">
        <f aca="false">+PRECOZ!D106</f>
        <v>0.03</v>
      </c>
      <c r="F124" s="45"/>
      <c r="G124" s="45"/>
      <c r="H124" s="45"/>
      <c r="I124" s="8" t="n">
        <f aca="false">+B124*E124*C124</f>
        <v>747.615</v>
      </c>
      <c r="J124" s="8" t="n">
        <f aca="false">+I124+J123</f>
        <v>49400.0899999999</v>
      </c>
      <c r="K124" s="8" t="n">
        <f aca="false">+MROUND(I124/30,0.5)</f>
        <v>25</v>
      </c>
    </row>
    <row r="125" customFormat="false" ht="14.25" hidden="false" customHeight="false" outlineLevel="0" collapsed="false">
      <c r="A125" s="42" t="n">
        <f aca="false">+A124+1</f>
        <v>46068</v>
      </c>
      <c r="B125" s="8" t="n">
        <f aca="false">+B124+D124</f>
        <v>109.05</v>
      </c>
      <c r="C125" s="44" t="n">
        <f aca="false">+C124</f>
        <v>230</v>
      </c>
      <c r="D125" s="9" t="n">
        <f aca="false">+PRECOZ!C107</f>
        <v>0.7</v>
      </c>
      <c r="E125" s="10" t="n">
        <f aca="false">+PRECOZ!D107</f>
        <v>0.03</v>
      </c>
      <c r="F125" s="45"/>
      <c r="G125" s="45"/>
      <c r="H125" s="45"/>
      <c r="I125" s="8" t="n">
        <f aca="false">+B125*E125*C125</f>
        <v>752.445</v>
      </c>
      <c r="J125" s="8" t="n">
        <f aca="false">+I125+J124</f>
        <v>50152.535</v>
      </c>
      <c r="K125" s="8" t="n">
        <f aca="false">+MROUND(I125/30,0.5)</f>
        <v>25</v>
      </c>
    </row>
    <row r="126" customFormat="false" ht="14.25" hidden="false" customHeight="false" outlineLevel="0" collapsed="false">
      <c r="A126" s="42" t="n">
        <f aca="false">+A125+1</f>
        <v>46069</v>
      </c>
      <c r="B126" s="8" t="n">
        <f aca="false">+B125+D125</f>
        <v>109.75</v>
      </c>
      <c r="C126" s="44" t="n">
        <f aca="false">+C125</f>
        <v>230</v>
      </c>
      <c r="D126" s="9" t="n">
        <f aca="false">+PRECOZ!C108</f>
        <v>0.7</v>
      </c>
      <c r="E126" s="10" t="n">
        <f aca="false">+PRECOZ!D108</f>
        <v>0.03</v>
      </c>
      <c r="F126" s="45"/>
      <c r="G126" s="45"/>
      <c r="H126" s="45"/>
      <c r="I126" s="8" t="n">
        <f aca="false">+B126*E126*C126</f>
        <v>757.275</v>
      </c>
      <c r="J126" s="8" t="n">
        <f aca="false">+I126+J125</f>
        <v>50909.81</v>
      </c>
      <c r="K126" s="8" t="n">
        <f aca="false">+MROUND(I126/30,0.5)</f>
        <v>25</v>
      </c>
    </row>
    <row r="127" customFormat="false" ht="14.25" hidden="false" customHeight="false" outlineLevel="0" collapsed="false">
      <c r="A127" s="42" t="n">
        <f aca="false">+A126+1</f>
        <v>46070</v>
      </c>
      <c r="B127" s="8" t="n">
        <f aca="false">+B126+D126</f>
        <v>110.45</v>
      </c>
      <c r="C127" s="44" t="n">
        <f aca="false">+C126</f>
        <v>230</v>
      </c>
      <c r="D127" s="9" t="n">
        <f aca="false">+PRECOZ!C109</f>
        <v>0.7</v>
      </c>
      <c r="E127" s="10" t="n">
        <f aca="false">+PRECOZ!D109</f>
        <v>0.03</v>
      </c>
      <c r="F127" s="45"/>
      <c r="G127" s="45"/>
      <c r="H127" s="45"/>
      <c r="I127" s="8" t="n">
        <f aca="false">+B127*E127*C127</f>
        <v>762.105</v>
      </c>
      <c r="J127" s="8" t="n">
        <f aca="false">+I127+J126</f>
        <v>51671.915</v>
      </c>
      <c r="K127" s="8" t="n">
        <f aca="false">+MROUND(I127/30,0.5)</f>
        <v>25.5</v>
      </c>
    </row>
    <row r="128" customFormat="false" ht="14.25" hidden="false" customHeight="false" outlineLevel="0" collapsed="false">
      <c r="A128" s="42" t="n">
        <f aca="false">+A127+1</f>
        <v>46071</v>
      </c>
      <c r="B128" s="8" t="n">
        <f aca="false">+B127+D127</f>
        <v>111.15</v>
      </c>
      <c r="C128" s="44" t="n">
        <f aca="false">+C127</f>
        <v>230</v>
      </c>
      <c r="D128" s="9" t="n">
        <f aca="false">+PRECOZ!C110</f>
        <v>0.7</v>
      </c>
      <c r="E128" s="10" t="n">
        <f aca="false">+PRECOZ!D110</f>
        <v>0.03</v>
      </c>
      <c r="F128" s="45"/>
      <c r="G128" s="45"/>
      <c r="H128" s="45"/>
      <c r="I128" s="8" t="n">
        <f aca="false">+B128*E128*C128</f>
        <v>766.935</v>
      </c>
      <c r="J128" s="8" t="n">
        <f aca="false">+I128+J127</f>
        <v>52438.8499999999</v>
      </c>
      <c r="K128" s="8" t="n">
        <f aca="false">+MROUND(I128/30,0.5)</f>
        <v>25.5</v>
      </c>
    </row>
    <row r="129" customFormat="false" ht="14.25" hidden="false" customHeight="false" outlineLevel="0" collapsed="false">
      <c r="A129" s="42" t="n">
        <f aca="false">+A128+1</f>
        <v>46072</v>
      </c>
      <c r="B129" s="8" t="n">
        <f aca="false">+B128+D128</f>
        <v>111.85</v>
      </c>
      <c r="C129" s="44" t="n">
        <f aca="false">+C128</f>
        <v>230</v>
      </c>
      <c r="D129" s="9" t="n">
        <f aca="false">+PRECOZ!C111</f>
        <v>0.7</v>
      </c>
      <c r="E129" s="10" t="n">
        <f aca="false">+PRECOZ!D111</f>
        <v>0.03</v>
      </c>
      <c r="F129" s="45"/>
      <c r="G129" s="45"/>
      <c r="H129" s="45"/>
      <c r="I129" s="8" t="n">
        <f aca="false">+B129*E129*C129</f>
        <v>771.765</v>
      </c>
      <c r="J129" s="8" t="n">
        <f aca="false">+I129+J128</f>
        <v>53210.6149999999</v>
      </c>
      <c r="K129" s="8" t="n">
        <f aca="false">+MROUND(I129/30,0.5)</f>
        <v>25.5</v>
      </c>
    </row>
    <row r="130" customFormat="false" ht="14.25" hidden="false" customHeight="false" outlineLevel="0" collapsed="false">
      <c r="A130" s="42" t="n">
        <f aca="false">+A129+1</f>
        <v>46073</v>
      </c>
      <c r="B130" s="8" t="n">
        <f aca="false">+B129+D129</f>
        <v>112.55</v>
      </c>
      <c r="C130" s="44" t="n">
        <f aca="false">+C129</f>
        <v>230</v>
      </c>
      <c r="D130" s="9" t="n">
        <f aca="false">+PRECOZ!C112</f>
        <v>0.7</v>
      </c>
      <c r="E130" s="10" t="n">
        <f aca="false">+PRECOZ!D112</f>
        <v>0.03</v>
      </c>
      <c r="F130" s="45"/>
      <c r="G130" s="45"/>
      <c r="H130" s="45"/>
      <c r="I130" s="8" t="n">
        <f aca="false">+B130*E130*C130</f>
        <v>776.595</v>
      </c>
      <c r="J130" s="8" t="n">
        <f aca="false">+I130+J129</f>
        <v>53987.21</v>
      </c>
      <c r="K130" s="8" t="n">
        <f aca="false">+MROUND(I130/30,0.5)</f>
        <v>26</v>
      </c>
    </row>
    <row r="131" customFormat="false" ht="14.25" hidden="false" customHeight="false" outlineLevel="0" collapsed="false">
      <c r="A131" s="42" t="n">
        <f aca="false">+A130+1</f>
        <v>46074</v>
      </c>
      <c r="B131" s="8" t="n">
        <f aca="false">+B130+D130</f>
        <v>113.25</v>
      </c>
      <c r="C131" s="44" t="n">
        <f aca="false">+C130</f>
        <v>230</v>
      </c>
      <c r="D131" s="9" t="n">
        <f aca="false">+PRECOZ!C113</f>
        <v>0.7</v>
      </c>
      <c r="E131" s="10" t="n">
        <f aca="false">+PRECOZ!D113</f>
        <v>0.03</v>
      </c>
      <c r="F131" s="45"/>
      <c r="G131" s="45"/>
      <c r="H131" s="45"/>
      <c r="I131" s="8" t="n">
        <f aca="false">+B131*E131*C131</f>
        <v>781.425</v>
      </c>
      <c r="J131" s="8" t="n">
        <f aca="false">+I131+J130</f>
        <v>54768.635</v>
      </c>
      <c r="K131" s="8" t="n">
        <f aca="false">+MROUND(I131/30,0.5)</f>
        <v>26</v>
      </c>
    </row>
    <row r="132" customFormat="false" ht="14.25" hidden="false" customHeight="false" outlineLevel="0" collapsed="false">
      <c r="A132" s="42" t="n">
        <f aca="false">+A131+1</f>
        <v>46075</v>
      </c>
      <c r="B132" s="8" t="n">
        <f aca="false">+B131+D131</f>
        <v>113.95</v>
      </c>
      <c r="C132" s="44" t="n">
        <f aca="false">+C131</f>
        <v>230</v>
      </c>
      <c r="D132" s="9" t="n">
        <f aca="false">+PRECOZ!C114</f>
        <v>0.7</v>
      </c>
      <c r="E132" s="10" t="n">
        <f aca="false">+PRECOZ!D114</f>
        <v>0.03</v>
      </c>
      <c r="F132" s="45"/>
      <c r="G132" s="45"/>
      <c r="H132" s="45"/>
      <c r="I132" s="8" t="n">
        <f aca="false">+B132*E132*C132</f>
        <v>786.255</v>
      </c>
      <c r="J132" s="8" t="n">
        <f aca="false">+I132+J131</f>
        <v>55554.89</v>
      </c>
      <c r="K132" s="8" t="n">
        <f aca="false">+MROUND(I132/30,0.5)</f>
        <v>26</v>
      </c>
    </row>
    <row r="133" customFormat="false" ht="14.25" hidden="false" customHeight="false" outlineLevel="0" collapsed="false">
      <c r="A133" s="42" t="n">
        <f aca="false">+A132+1</f>
        <v>46076</v>
      </c>
      <c r="B133" s="8" t="n">
        <f aca="false">+B132+D132</f>
        <v>114.65</v>
      </c>
      <c r="C133" s="44" t="n">
        <f aca="false">+C132</f>
        <v>230</v>
      </c>
      <c r="D133" s="9" t="n">
        <f aca="false">+PRECOZ!C115</f>
        <v>0.7</v>
      </c>
      <c r="E133" s="10" t="n">
        <f aca="false">+PRECOZ!D115</f>
        <v>0.03</v>
      </c>
      <c r="F133" s="45"/>
      <c r="G133" s="45"/>
      <c r="H133" s="45"/>
      <c r="I133" s="8" t="n">
        <f aca="false">+B133*E133*C133</f>
        <v>791.085</v>
      </c>
      <c r="J133" s="8" t="n">
        <f aca="false">+I133+J132</f>
        <v>56345.9749999999</v>
      </c>
      <c r="K133" s="8" t="n">
        <f aca="false">+MROUND(I133/30,0.5)</f>
        <v>26.5</v>
      </c>
    </row>
    <row r="134" customFormat="false" ht="14.25" hidden="false" customHeight="false" outlineLevel="0" collapsed="false">
      <c r="A134" s="42" t="n">
        <f aca="false">+A133+1</f>
        <v>46077</v>
      </c>
      <c r="B134" s="8" t="n">
        <f aca="false">+B133+D133</f>
        <v>115.35</v>
      </c>
      <c r="C134" s="44" t="n">
        <f aca="false">+C133</f>
        <v>230</v>
      </c>
      <c r="D134" s="9" t="n">
        <f aca="false">+PRECOZ!C116</f>
        <v>0.7</v>
      </c>
      <c r="E134" s="10" t="n">
        <f aca="false">+PRECOZ!D116</f>
        <v>0.03</v>
      </c>
      <c r="F134" s="45"/>
      <c r="G134" s="45"/>
      <c r="H134" s="45"/>
      <c r="I134" s="8" t="n">
        <f aca="false">+B134*E134*C134</f>
        <v>795.915</v>
      </c>
      <c r="J134" s="8" t="n">
        <f aca="false">+I134+J133</f>
        <v>57141.89</v>
      </c>
      <c r="K134" s="8" t="n">
        <f aca="false">+MROUND(I134/30,0.5)</f>
        <v>26.5</v>
      </c>
    </row>
    <row r="135" customFormat="false" ht="14.25" hidden="false" customHeight="false" outlineLevel="0" collapsed="false">
      <c r="A135" s="42" t="n">
        <f aca="false">+A134+1</f>
        <v>46078</v>
      </c>
      <c r="B135" s="8" t="n">
        <f aca="false">+B134+D134</f>
        <v>116.05</v>
      </c>
      <c r="C135" s="44" t="n">
        <f aca="false">+C134</f>
        <v>230</v>
      </c>
      <c r="D135" s="9" t="n">
        <f aca="false">+PRECOZ!C117</f>
        <v>0.7</v>
      </c>
      <c r="E135" s="10" t="n">
        <f aca="false">+PRECOZ!D117</f>
        <v>0.03</v>
      </c>
      <c r="F135" s="45"/>
      <c r="G135" s="45"/>
      <c r="H135" s="45"/>
      <c r="I135" s="8" t="n">
        <f aca="false">+B135*E135*C135</f>
        <v>800.745</v>
      </c>
      <c r="J135" s="8" t="n">
        <f aca="false">+I135+J134</f>
        <v>57942.635</v>
      </c>
      <c r="K135" s="8" t="n">
        <f aca="false">+MROUND(I135/30,0.5)</f>
        <v>26.5</v>
      </c>
    </row>
    <row r="136" customFormat="false" ht="14.25" hidden="false" customHeight="false" outlineLevel="0" collapsed="false">
      <c r="A136" s="42" t="n">
        <f aca="false">+A135+1</f>
        <v>46079</v>
      </c>
      <c r="B136" s="8" t="n">
        <f aca="false">+B135+D135</f>
        <v>116.75</v>
      </c>
      <c r="C136" s="44" t="n">
        <f aca="false">+C135</f>
        <v>230</v>
      </c>
      <c r="D136" s="9" t="n">
        <f aca="false">+PRECOZ!C118</f>
        <v>0.7</v>
      </c>
      <c r="E136" s="10" t="n">
        <f aca="false">+PRECOZ!D118</f>
        <v>0.03</v>
      </c>
      <c r="F136" s="45"/>
      <c r="G136" s="45"/>
      <c r="H136" s="45"/>
      <c r="I136" s="8" t="n">
        <f aca="false">+B136*E136*C136</f>
        <v>805.575</v>
      </c>
      <c r="J136" s="8" t="n">
        <f aca="false">+I136+J135</f>
        <v>58748.2099999999</v>
      </c>
      <c r="K136" s="8" t="n">
        <f aca="false">+MROUND(I136/30,0.5)</f>
        <v>27</v>
      </c>
    </row>
    <row r="137" customFormat="false" ht="14.25" hidden="false" customHeight="false" outlineLevel="0" collapsed="false">
      <c r="A137" s="42" t="n">
        <f aca="false">+A136+1</f>
        <v>46080</v>
      </c>
      <c r="B137" s="8" t="n">
        <f aca="false">+B136+D136</f>
        <v>117.45</v>
      </c>
      <c r="C137" s="44" t="n">
        <f aca="false">+C136</f>
        <v>230</v>
      </c>
      <c r="D137" s="9" t="n">
        <f aca="false">+PRECOZ!C119</f>
        <v>0.7</v>
      </c>
      <c r="E137" s="10" t="n">
        <f aca="false">+PRECOZ!D119</f>
        <v>0.03</v>
      </c>
      <c r="F137" s="45"/>
      <c r="G137" s="45"/>
      <c r="H137" s="45"/>
      <c r="I137" s="8" t="n">
        <f aca="false">+B137*E137*C137</f>
        <v>810.405</v>
      </c>
      <c r="J137" s="8" t="n">
        <f aca="false">+I137+J136</f>
        <v>59558.615</v>
      </c>
      <c r="K137" s="8" t="n">
        <f aca="false">+MROUND(I137/30,0.5)</f>
        <v>27</v>
      </c>
    </row>
    <row r="138" customFormat="false" ht="14.25" hidden="false" customHeight="false" outlineLevel="0" collapsed="false">
      <c r="A138" s="42" t="n">
        <f aca="false">+A137+1</f>
        <v>46081</v>
      </c>
      <c r="B138" s="8" t="n">
        <f aca="false">+B137+D137</f>
        <v>118.15</v>
      </c>
      <c r="C138" s="44" t="n">
        <f aca="false">+C137</f>
        <v>230</v>
      </c>
      <c r="D138" s="9" t="n">
        <f aca="false">+PRECOZ!C120</f>
        <v>0.7</v>
      </c>
      <c r="E138" s="10" t="n">
        <f aca="false">+PRECOZ!D120</f>
        <v>0.03</v>
      </c>
      <c r="F138" s="45"/>
      <c r="G138" s="45"/>
      <c r="H138" s="45"/>
      <c r="I138" s="8" t="n">
        <f aca="false">+B138*E138*C138</f>
        <v>815.235</v>
      </c>
      <c r="J138" s="8" t="n">
        <f aca="false">+I138+J137</f>
        <v>60373.85</v>
      </c>
      <c r="K138" s="8" t="n">
        <f aca="false">+MROUND(I138/30,0.5)</f>
        <v>27</v>
      </c>
    </row>
    <row r="139" customFormat="false" ht="14.25" hidden="false" customHeight="false" outlineLevel="0" collapsed="false">
      <c r="A139" s="42" t="n">
        <f aca="false">+A138+1</f>
        <v>46082</v>
      </c>
      <c r="B139" s="8" t="n">
        <f aca="false">+B138+D138</f>
        <v>118.85</v>
      </c>
      <c r="C139" s="44" t="n">
        <f aca="false">+C138</f>
        <v>230</v>
      </c>
      <c r="D139" s="9" t="n">
        <f aca="false">+PRECOZ!C121</f>
        <v>0.7</v>
      </c>
      <c r="E139" s="10" t="n">
        <f aca="false">+PRECOZ!D121</f>
        <v>0.03</v>
      </c>
      <c r="F139" s="45"/>
      <c r="G139" s="45"/>
      <c r="H139" s="45"/>
      <c r="I139" s="8" t="n">
        <f aca="false">+B139*E139*C139</f>
        <v>820.065</v>
      </c>
      <c r="J139" s="8" t="n">
        <f aca="false">+I139+J138</f>
        <v>61193.915</v>
      </c>
      <c r="K139" s="8" t="n">
        <f aca="false">+MROUND(I139/30,0.5)</f>
        <v>27.5</v>
      </c>
    </row>
    <row r="140" customFormat="false" ht="14.25" hidden="false" customHeight="false" outlineLevel="0" collapsed="false">
      <c r="A140" s="42" t="n">
        <f aca="false">+A139+1</f>
        <v>46083</v>
      </c>
      <c r="B140" s="8" t="n">
        <f aca="false">+B139+D139</f>
        <v>119.55</v>
      </c>
      <c r="C140" s="44" t="n">
        <f aca="false">+C139</f>
        <v>230</v>
      </c>
      <c r="D140" s="9" t="n">
        <f aca="false">+PRECOZ!C122</f>
        <v>0.7</v>
      </c>
      <c r="E140" s="10" t="n">
        <f aca="false">+PRECOZ!D122</f>
        <v>0.03</v>
      </c>
      <c r="F140" s="45"/>
      <c r="G140" s="45"/>
      <c r="H140" s="45"/>
      <c r="I140" s="8" t="n">
        <f aca="false">+B140*E140*C140</f>
        <v>824.895</v>
      </c>
      <c r="J140" s="8" t="n">
        <f aca="false">+I140+J139</f>
        <v>62018.81</v>
      </c>
      <c r="K140" s="8" t="n">
        <f aca="false">+MROUND(I140/30,0.5)</f>
        <v>27.5</v>
      </c>
    </row>
    <row r="141" customFormat="false" ht="14.25" hidden="false" customHeight="false" outlineLevel="0" collapsed="false">
      <c r="A141" s="42" t="n">
        <f aca="false">+A140+1</f>
        <v>46084</v>
      </c>
      <c r="B141" s="8" t="n">
        <f aca="false">+B140+D140</f>
        <v>120.25</v>
      </c>
      <c r="C141" s="44" t="n">
        <f aca="false">+C140</f>
        <v>230</v>
      </c>
      <c r="D141" s="9" t="n">
        <f aca="false">+PRECOZ!C123</f>
        <v>0.7</v>
      </c>
      <c r="E141" s="10" t="n">
        <f aca="false">+PRECOZ!D123</f>
        <v>0.03</v>
      </c>
      <c r="F141" s="45"/>
      <c r="G141" s="45"/>
      <c r="H141" s="45"/>
      <c r="I141" s="8" t="n">
        <f aca="false">+B141*E141*C141</f>
        <v>829.725</v>
      </c>
      <c r="J141" s="8" t="n">
        <f aca="false">+I141+J140</f>
        <v>62848.5349999999</v>
      </c>
      <c r="K141" s="8" t="n">
        <f aca="false">+MROUND(I141/30,0.5)</f>
        <v>27.5</v>
      </c>
    </row>
    <row r="142" customFormat="false" ht="14.25" hidden="false" customHeight="false" outlineLevel="0" collapsed="false">
      <c r="A142" s="42" t="n">
        <f aca="false">+A141+1</f>
        <v>46085</v>
      </c>
      <c r="B142" s="8" t="n">
        <f aca="false">+B141+D141</f>
        <v>120.95</v>
      </c>
      <c r="C142" s="44" t="n">
        <f aca="false">+C141</f>
        <v>230</v>
      </c>
      <c r="D142" s="9" t="n">
        <f aca="false">+PRECOZ!C124</f>
        <v>0.7</v>
      </c>
      <c r="E142" s="10" t="n">
        <f aca="false">+PRECOZ!D124</f>
        <v>0.03</v>
      </c>
      <c r="F142" s="45"/>
      <c r="G142" s="45"/>
      <c r="H142" s="45"/>
      <c r="I142" s="8" t="n">
        <f aca="false">+B142*E142*C142</f>
        <v>834.555</v>
      </c>
      <c r="J142" s="8" t="n">
        <f aca="false">+I142+J141</f>
        <v>63683.0899999999</v>
      </c>
      <c r="K142" s="8" t="n">
        <f aca="false">+MROUND(I142/30,0.5)</f>
        <v>28</v>
      </c>
    </row>
    <row r="143" customFormat="false" ht="14.25" hidden="false" customHeight="false" outlineLevel="0" collapsed="false">
      <c r="A143" s="42" t="n">
        <f aca="false">+A142+1</f>
        <v>46086</v>
      </c>
      <c r="B143" s="8" t="n">
        <f aca="false">+B142+D142</f>
        <v>121.65</v>
      </c>
      <c r="C143" s="44" t="n">
        <f aca="false">+C142</f>
        <v>230</v>
      </c>
      <c r="D143" s="9" t="n">
        <f aca="false">+PRECOZ!C125</f>
        <v>0.7</v>
      </c>
      <c r="E143" s="10" t="n">
        <f aca="false">+PRECOZ!D125</f>
        <v>0.03</v>
      </c>
      <c r="F143" s="45"/>
      <c r="G143" s="45"/>
      <c r="H143" s="45"/>
      <c r="I143" s="8" t="n">
        <f aca="false">+B143*E143*C143</f>
        <v>839.385</v>
      </c>
      <c r="J143" s="8" t="n">
        <f aca="false">+I143+J142</f>
        <v>64522.475</v>
      </c>
      <c r="K143" s="8" t="n">
        <f aca="false">+MROUND(I143/30,0.5)</f>
        <v>28</v>
      </c>
    </row>
    <row r="144" customFormat="false" ht="14.25" hidden="false" customHeight="false" outlineLevel="0" collapsed="false">
      <c r="A144" s="42" t="n">
        <f aca="false">+A143+1</f>
        <v>46087</v>
      </c>
      <c r="B144" s="8" t="n">
        <f aca="false">+B143+D143</f>
        <v>122.35</v>
      </c>
      <c r="C144" s="44" t="n">
        <f aca="false">+C143</f>
        <v>230</v>
      </c>
      <c r="D144" s="9" t="n">
        <f aca="false">+PRECOZ!C126</f>
        <v>0.7</v>
      </c>
      <c r="E144" s="10" t="n">
        <f aca="false">+PRECOZ!D126</f>
        <v>0.03</v>
      </c>
      <c r="F144" s="45"/>
      <c r="G144" s="45"/>
      <c r="H144" s="45"/>
      <c r="I144" s="8" t="n">
        <f aca="false">+B144*E144*C144</f>
        <v>844.215</v>
      </c>
      <c r="J144" s="8" t="n">
        <f aca="false">+I144+J143</f>
        <v>65366.69</v>
      </c>
      <c r="K144" s="8" t="n">
        <f aca="false">+MROUND(I144/30,0.5)</f>
        <v>28</v>
      </c>
    </row>
    <row r="145" customFormat="false" ht="14.25" hidden="false" customHeight="false" outlineLevel="0" collapsed="false">
      <c r="A145" s="42" t="n">
        <f aca="false">+A144+1</f>
        <v>46088</v>
      </c>
      <c r="B145" s="8" t="n">
        <f aca="false">+B144+D144</f>
        <v>123.05</v>
      </c>
      <c r="C145" s="44" t="n">
        <f aca="false">+C144</f>
        <v>230</v>
      </c>
      <c r="D145" s="9" t="n">
        <f aca="false">+PRECOZ!C127</f>
        <v>0.7</v>
      </c>
      <c r="E145" s="10" t="n">
        <f aca="false">+PRECOZ!D127</f>
        <v>0.03</v>
      </c>
      <c r="F145" s="45"/>
      <c r="G145" s="45"/>
      <c r="H145" s="45"/>
      <c r="I145" s="8" t="n">
        <f aca="false">+B145*E145*C145</f>
        <v>849.045</v>
      </c>
      <c r="J145" s="8" t="n">
        <f aca="false">+I145+J144</f>
        <v>66215.735</v>
      </c>
      <c r="K145" s="8" t="n">
        <f aca="false">+MROUND(I145/30,0.5)</f>
        <v>28.5</v>
      </c>
    </row>
    <row r="146" customFormat="false" ht="14.25" hidden="false" customHeight="false" outlineLevel="0" collapsed="false">
      <c r="A146" s="42" t="n">
        <f aca="false">+A145+1</f>
        <v>46089</v>
      </c>
      <c r="B146" s="8" t="n">
        <f aca="false">+B145+D145</f>
        <v>123.75</v>
      </c>
      <c r="C146" s="44" t="n">
        <f aca="false">+C145</f>
        <v>230</v>
      </c>
      <c r="D146" s="9" t="n">
        <f aca="false">+PRECOZ!C128</f>
        <v>0.7</v>
      </c>
      <c r="E146" s="10" t="n">
        <f aca="false">+PRECOZ!D128</f>
        <v>0.03</v>
      </c>
      <c r="F146" s="45"/>
      <c r="G146" s="45"/>
      <c r="H146" s="45"/>
      <c r="I146" s="8" t="n">
        <f aca="false">+B146*E146*C146</f>
        <v>853.875</v>
      </c>
      <c r="J146" s="8" t="n">
        <f aca="false">+I146+J145</f>
        <v>67069.61</v>
      </c>
      <c r="K146" s="8" t="n">
        <f aca="false">+MROUND(I146/30,0.5)</f>
        <v>28.5</v>
      </c>
    </row>
    <row r="147" customFormat="false" ht="14.25" hidden="false" customHeight="false" outlineLevel="0" collapsed="false">
      <c r="A147" s="42" t="n">
        <f aca="false">+A146+1</f>
        <v>46090</v>
      </c>
      <c r="B147" s="8" t="n">
        <f aca="false">+B146+D146</f>
        <v>124.45</v>
      </c>
      <c r="C147" s="44" t="n">
        <f aca="false">+C146</f>
        <v>230</v>
      </c>
      <c r="D147" s="9" t="n">
        <f aca="false">+PRECOZ!C129</f>
        <v>0.7</v>
      </c>
      <c r="E147" s="10" t="n">
        <f aca="false">+PRECOZ!D129</f>
        <v>0.03</v>
      </c>
      <c r="F147" s="45"/>
      <c r="G147" s="45"/>
      <c r="H147" s="45"/>
      <c r="I147" s="8" t="n">
        <f aca="false">+B147*E147*C147</f>
        <v>858.705</v>
      </c>
      <c r="J147" s="8" t="n">
        <f aca="false">+I147+J146</f>
        <v>67928.315</v>
      </c>
      <c r="K147" s="8" t="n">
        <f aca="false">+MROUND(I147/30,0.5)</f>
        <v>28.5</v>
      </c>
    </row>
    <row r="148" customFormat="false" ht="14.25" hidden="false" customHeight="false" outlineLevel="0" collapsed="false">
      <c r="A148" s="42" t="n">
        <f aca="false">+A147+1</f>
        <v>46091</v>
      </c>
      <c r="B148" s="8" t="n">
        <f aca="false">+B147+D147</f>
        <v>125.15</v>
      </c>
      <c r="C148" s="44" t="n">
        <f aca="false">+C147</f>
        <v>230</v>
      </c>
      <c r="D148" s="9" t="n">
        <f aca="false">+PRECOZ!C130</f>
        <v>0.7</v>
      </c>
      <c r="E148" s="10" t="n">
        <f aca="false">+PRECOZ!D130</f>
        <v>0.03</v>
      </c>
      <c r="F148" s="45"/>
      <c r="G148" s="45"/>
      <c r="H148" s="45"/>
      <c r="I148" s="8" t="n">
        <f aca="false">+B148*E148*C148</f>
        <v>863.535</v>
      </c>
      <c r="J148" s="8" t="n">
        <f aca="false">+I148+J147</f>
        <v>68791.85</v>
      </c>
      <c r="K148" s="8" t="n">
        <f aca="false">+MROUND(I148/30,0.5)</f>
        <v>29</v>
      </c>
    </row>
    <row r="149" customFormat="false" ht="14.25" hidden="false" customHeight="false" outlineLevel="0" collapsed="false">
      <c r="A149" s="42" t="n">
        <f aca="false">+A148+1</f>
        <v>46092</v>
      </c>
      <c r="B149" s="8" t="n">
        <f aca="false">+B148+D148</f>
        <v>125.85</v>
      </c>
      <c r="C149" s="44" t="n">
        <f aca="false">+C148</f>
        <v>230</v>
      </c>
      <c r="D149" s="9" t="n">
        <f aca="false">+PRECOZ!C131</f>
        <v>0.7</v>
      </c>
      <c r="E149" s="10" t="n">
        <f aca="false">+PRECOZ!D131</f>
        <v>0.03</v>
      </c>
      <c r="F149" s="45"/>
      <c r="G149" s="45"/>
      <c r="H149" s="45"/>
      <c r="I149" s="8" t="n">
        <f aca="false">+B149*E149*C149</f>
        <v>868.365</v>
      </c>
      <c r="J149" s="8" t="n">
        <f aca="false">+I149+J148</f>
        <v>69660.215</v>
      </c>
      <c r="K149" s="8" t="n">
        <f aca="false">+MROUND(I149/30,0.5)</f>
        <v>29</v>
      </c>
    </row>
    <row r="150" customFormat="false" ht="14.25" hidden="false" customHeight="false" outlineLevel="0" collapsed="false">
      <c r="A150" s="42" t="n">
        <f aca="false">+A149+1</f>
        <v>46093</v>
      </c>
      <c r="B150" s="8" t="n">
        <f aca="false">+B149+D149</f>
        <v>126.55</v>
      </c>
      <c r="C150" s="44" t="n">
        <f aca="false">+C149</f>
        <v>230</v>
      </c>
      <c r="D150" s="9" t="n">
        <f aca="false">+PRECOZ!C132</f>
        <v>0.7</v>
      </c>
      <c r="E150" s="10" t="n">
        <f aca="false">+PRECOZ!D132</f>
        <v>0.03</v>
      </c>
      <c r="F150" s="45"/>
      <c r="G150" s="45"/>
      <c r="H150" s="45"/>
      <c r="I150" s="8" t="n">
        <f aca="false">+B150*E150*C150</f>
        <v>873.195</v>
      </c>
      <c r="J150" s="8" t="n">
        <f aca="false">+I150+J149</f>
        <v>70533.41</v>
      </c>
      <c r="K150" s="8" t="n">
        <f aca="false">+MROUND(I150/30,0.5)</f>
        <v>29</v>
      </c>
    </row>
    <row r="151" customFormat="false" ht="14.25" hidden="false" customHeight="false" outlineLevel="0" collapsed="false">
      <c r="A151" s="42" t="n">
        <f aca="false">+A150+1</f>
        <v>46094</v>
      </c>
      <c r="B151" s="8" t="n">
        <f aca="false">+B150+D150</f>
        <v>127.25</v>
      </c>
      <c r="C151" s="44" t="n">
        <f aca="false">+C150</f>
        <v>230</v>
      </c>
      <c r="D151" s="9" t="n">
        <f aca="false">+PRECOZ!C133</f>
        <v>0.7</v>
      </c>
      <c r="E151" s="10" t="n">
        <f aca="false">+PRECOZ!D133</f>
        <v>0.03</v>
      </c>
      <c r="F151" s="45"/>
      <c r="G151" s="45"/>
      <c r="H151" s="45"/>
      <c r="I151" s="8" t="n">
        <f aca="false">+B151*E151*C151</f>
        <v>878.025</v>
      </c>
      <c r="J151" s="8" t="n">
        <f aca="false">+I151+J150</f>
        <v>71411.435</v>
      </c>
      <c r="K151" s="8" t="n">
        <f aca="false">+MROUND(I151/30,0.5)</f>
        <v>29.5</v>
      </c>
    </row>
    <row r="152" customFormat="false" ht="14.25" hidden="false" customHeight="false" outlineLevel="0" collapsed="false">
      <c r="A152" s="42" t="n">
        <f aca="false">+A151+1</f>
        <v>46095</v>
      </c>
      <c r="B152" s="8" t="n">
        <f aca="false">+B151+D151</f>
        <v>127.95</v>
      </c>
      <c r="C152" s="44" t="n">
        <f aca="false">+C151</f>
        <v>230</v>
      </c>
      <c r="D152" s="9" t="n">
        <f aca="false">+PRECOZ!C134</f>
        <v>0.7</v>
      </c>
      <c r="E152" s="10" t="n">
        <f aca="false">+PRECOZ!D134</f>
        <v>0.03</v>
      </c>
      <c r="F152" s="45"/>
      <c r="G152" s="45"/>
      <c r="H152" s="45"/>
      <c r="I152" s="8" t="n">
        <f aca="false">+B152*E152*C152</f>
        <v>882.855</v>
      </c>
      <c r="J152" s="8" t="n">
        <f aca="false">+I152+J151</f>
        <v>72294.29</v>
      </c>
      <c r="K152" s="8" t="n">
        <f aca="false">+MROUND(I152/30,0.5)</f>
        <v>29.5</v>
      </c>
    </row>
    <row r="153" customFormat="false" ht="14.25" hidden="false" customHeight="false" outlineLevel="0" collapsed="false">
      <c r="A153" s="42" t="n">
        <f aca="false">+A152+1</f>
        <v>46096</v>
      </c>
      <c r="B153" s="8" t="n">
        <f aca="false">+B152+D152</f>
        <v>128.65</v>
      </c>
      <c r="C153" s="44" t="n">
        <f aca="false">+C152</f>
        <v>230</v>
      </c>
      <c r="D153" s="9" t="n">
        <f aca="false">+PRECOZ!C135</f>
        <v>0.7</v>
      </c>
      <c r="E153" s="10" t="n">
        <f aca="false">+PRECOZ!D135</f>
        <v>0.03</v>
      </c>
      <c r="F153" s="45"/>
      <c r="G153" s="45"/>
      <c r="H153" s="45"/>
      <c r="I153" s="8" t="n">
        <f aca="false">+B153*E153*C153</f>
        <v>887.685</v>
      </c>
      <c r="J153" s="8" t="n">
        <f aca="false">+I153+J152</f>
        <v>73181.975</v>
      </c>
      <c r="K153" s="8" t="n">
        <f aca="false">+MROUND(I153/30,0.5)</f>
        <v>29.5</v>
      </c>
    </row>
    <row r="154" customFormat="false" ht="14.25" hidden="false" customHeight="false" outlineLevel="0" collapsed="false">
      <c r="A154" s="42" t="n">
        <f aca="false">+A153+1</f>
        <v>46097</v>
      </c>
      <c r="B154" s="8" t="n">
        <f aca="false">+B153+D153</f>
        <v>129.35</v>
      </c>
      <c r="C154" s="44" t="n">
        <f aca="false">+C153</f>
        <v>230</v>
      </c>
      <c r="D154" s="9" t="n">
        <f aca="false">+PRECOZ!C136</f>
        <v>0.7</v>
      </c>
      <c r="E154" s="10" t="n">
        <f aca="false">+PRECOZ!D136</f>
        <v>0.03</v>
      </c>
      <c r="F154" s="45"/>
      <c r="G154" s="45"/>
      <c r="H154" s="45"/>
      <c r="I154" s="8" t="n">
        <f aca="false">+B154*E154*C154</f>
        <v>892.515</v>
      </c>
      <c r="J154" s="8" t="n">
        <f aca="false">+I154+J153</f>
        <v>74074.49</v>
      </c>
      <c r="K154" s="8" t="n">
        <f aca="false">+MROUND(I154/30,0.5)</f>
        <v>30</v>
      </c>
    </row>
    <row r="155" customFormat="false" ht="14.25" hidden="false" customHeight="false" outlineLevel="0" collapsed="false">
      <c r="A155" s="42" t="n">
        <f aca="false">+A154+1</f>
        <v>46098</v>
      </c>
      <c r="B155" s="8" t="n">
        <f aca="false">+B154+D154</f>
        <v>130.05</v>
      </c>
      <c r="C155" s="44" t="n">
        <f aca="false">+C154</f>
        <v>230</v>
      </c>
      <c r="D155" s="9" t="n">
        <f aca="false">+PRECOZ!C137</f>
        <v>0.7</v>
      </c>
      <c r="E155" s="10" t="n">
        <f aca="false">+PRECOZ!D137</f>
        <v>0.03</v>
      </c>
      <c r="F155" s="45"/>
      <c r="G155" s="45"/>
      <c r="H155" s="45"/>
      <c r="I155" s="8" t="n">
        <f aca="false">+B155*E155*C155</f>
        <v>897.345</v>
      </c>
      <c r="J155" s="8" t="n">
        <f aca="false">+I155+J154</f>
        <v>74971.835</v>
      </c>
      <c r="K155" s="8" t="n">
        <f aca="false">+MROUND(I155/30,0.5)</f>
        <v>30</v>
      </c>
    </row>
    <row r="156" customFormat="false" ht="14.25" hidden="false" customHeight="false" outlineLevel="0" collapsed="false">
      <c r="A156" s="42" t="n">
        <f aca="false">+A155+1</f>
        <v>46099</v>
      </c>
      <c r="B156" s="8" t="n">
        <f aca="false">+B155+D155</f>
        <v>130.75</v>
      </c>
      <c r="C156" s="44" t="n">
        <f aca="false">+C155</f>
        <v>230</v>
      </c>
      <c r="D156" s="9" t="n">
        <f aca="false">+PRECOZ!C138</f>
        <v>0.7</v>
      </c>
      <c r="E156" s="10" t="n">
        <f aca="false">+PRECOZ!D138</f>
        <v>0.03</v>
      </c>
      <c r="F156" s="45"/>
      <c r="G156" s="45"/>
      <c r="H156" s="45"/>
      <c r="I156" s="8" t="n">
        <f aca="false">+B156*E156*C156</f>
        <v>902.175</v>
      </c>
      <c r="J156" s="8" t="n">
        <f aca="false">+I156+J155</f>
        <v>75874.01</v>
      </c>
      <c r="K156" s="8" t="n">
        <f aca="false">+MROUND(I156/30,0.5)</f>
        <v>30</v>
      </c>
    </row>
    <row r="157" customFormat="false" ht="14.25" hidden="false" customHeight="false" outlineLevel="0" collapsed="false">
      <c r="A157" s="42" t="n">
        <f aca="false">+A156+1</f>
        <v>46100</v>
      </c>
      <c r="B157" s="8" t="n">
        <f aca="false">+B156+D156</f>
        <v>131.45</v>
      </c>
      <c r="C157" s="44" t="n">
        <f aca="false">+C156</f>
        <v>230</v>
      </c>
      <c r="D157" s="9" t="n">
        <f aca="false">+PRECOZ!C139</f>
        <v>0.7</v>
      </c>
      <c r="E157" s="10" t="n">
        <f aca="false">+PRECOZ!D139</f>
        <v>0.03</v>
      </c>
      <c r="F157" s="45"/>
      <c r="G157" s="45"/>
      <c r="H157" s="45"/>
      <c r="I157" s="8" t="n">
        <f aca="false">+B157*E157*C157</f>
        <v>907.005</v>
      </c>
      <c r="J157" s="8" t="n">
        <f aca="false">+I157+J156</f>
        <v>76781.015</v>
      </c>
      <c r="K157" s="8" t="n">
        <f aca="false">+MROUND(I157/30,0.5)</f>
        <v>30</v>
      </c>
    </row>
    <row r="158" customFormat="false" ht="14.25" hidden="false" customHeight="false" outlineLevel="0" collapsed="false">
      <c r="A158" s="42" t="n">
        <f aca="false">+A157+1</f>
        <v>46101</v>
      </c>
      <c r="B158" s="8" t="n">
        <f aca="false">+B157+D157</f>
        <v>132.15</v>
      </c>
      <c r="C158" s="44" t="n">
        <f aca="false">+C157</f>
        <v>230</v>
      </c>
      <c r="D158" s="9" t="n">
        <f aca="false">+PRECOZ!C140</f>
        <v>0.7</v>
      </c>
      <c r="E158" s="10" t="n">
        <f aca="false">+PRECOZ!D140</f>
        <v>0.03</v>
      </c>
      <c r="F158" s="45"/>
      <c r="G158" s="45"/>
      <c r="H158" s="45"/>
      <c r="I158" s="8" t="n">
        <f aca="false">+B158*E158*C158</f>
        <v>911.835</v>
      </c>
      <c r="J158" s="8" t="n">
        <f aca="false">+I158+J157</f>
        <v>77692.85</v>
      </c>
      <c r="K158" s="8" t="n">
        <f aca="false">+MROUND(I158/30,0.5)</f>
        <v>30.5</v>
      </c>
    </row>
    <row r="159" customFormat="false" ht="14.25" hidden="false" customHeight="false" outlineLevel="0" collapsed="false">
      <c r="B159" s="46"/>
    </row>
    <row r="161" s="1" customFormat="true" ht="14.25" hidden="false" customHeight="false" outlineLevel="0" collapsed="false">
      <c r="C161" s="47"/>
      <c r="D161" s="48" t="s">
        <v>46</v>
      </c>
      <c r="E161" s="48"/>
      <c r="F161" s="49"/>
      <c r="G161" s="49" t="s">
        <v>32</v>
      </c>
      <c r="H161" s="49" t="s">
        <v>47</v>
      </c>
      <c r="I161" s="50"/>
      <c r="J161" s="50" t="s">
        <v>32</v>
      </c>
      <c r="K161" s="50" t="s">
        <v>47</v>
      </c>
    </row>
    <row r="162" customFormat="false" ht="14.25" hidden="false" customHeight="false" outlineLevel="0" collapsed="false">
      <c r="D162" s="48"/>
      <c r="E162" s="48"/>
      <c r="F162" s="49" t="s">
        <v>38</v>
      </c>
      <c r="G162" s="51" t="n">
        <f aca="false">+G23</f>
        <v>0</v>
      </c>
      <c r="H162" s="51" t="n">
        <f aca="false">SUM(H9:H158)</f>
        <v>0</v>
      </c>
      <c r="I162" s="50" t="s">
        <v>38</v>
      </c>
      <c r="J162" s="52" t="n">
        <f aca="false">+J158</f>
        <v>77692.85</v>
      </c>
      <c r="K162" s="52" t="n">
        <f aca="false">SUM(K24:K158)</f>
        <v>2590</v>
      </c>
    </row>
    <row r="163" customFormat="false" ht="21" hidden="false" customHeight="false" outlineLevel="0" collapsed="false">
      <c r="D163" s="53" t="s">
        <v>31</v>
      </c>
      <c r="E163" s="54" t="n">
        <f aca="false">+C158</f>
        <v>230</v>
      </c>
      <c r="F163" s="55" t="s">
        <v>35</v>
      </c>
      <c r="G163" s="55" t="n">
        <f aca="false">+G162/1000</f>
        <v>0</v>
      </c>
      <c r="H163" s="55" t="n">
        <f aca="false">ROUNDUP(H162,0)</f>
        <v>0</v>
      </c>
      <c r="I163" s="56" t="s">
        <v>35</v>
      </c>
      <c r="J163" s="56" t="n">
        <f aca="false">+J162/1000</f>
        <v>77.69285</v>
      </c>
      <c r="K163" s="56" t="n">
        <f aca="false">ROUNDUP(K162,0)</f>
        <v>2590</v>
      </c>
    </row>
    <row r="165" customFormat="false" ht="16.5" hidden="false" customHeight="false" outlineLevel="0" collapsed="false">
      <c r="D165" s="57" t="s">
        <v>48</v>
      </c>
      <c r="E165" s="57"/>
      <c r="I165" s="58" t="n">
        <f aca="false">+PRECOZ!I146</f>
        <v>509360</v>
      </c>
      <c r="J165" s="58" t="n">
        <f aca="false">+I165*J163</f>
        <v>39573630.076</v>
      </c>
    </row>
    <row r="167" customFormat="false" ht="14.25" hidden="false" customHeight="false" outlineLevel="0" collapsed="false">
      <c r="B167" s="19"/>
    </row>
  </sheetData>
  <mergeCells count="18">
    <mergeCell ref="A2:K3"/>
    <mergeCell ref="A4:K4"/>
    <mergeCell ref="A5:E5"/>
    <mergeCell ref="F5:H5"/>
    <mergeCell ref="I5:K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D161:E162"/>
    <mergeCell ref="D165:E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06640625" defaultRowHeight="14.25" zeroHeight="false" outlineLevelRow="0" outlineLevelCol="0"/>
  <cols>
    <col collapsed="false" customWidth="true" hidden="false" outlineLevel="0" max="1" min="1" style="0" width="34.2"/>
    <col collapsed="false" customWidth="true" hidden="false" outlineLevel="0" max="3" min="2" style="0" width="25"/>
    <col collapsed="false" customWidth="true" hidden="false" outlineLevel="0" max="4" min="4" style="0" width="38"/>
  </cols>
  <sheetData>
    <row r="1" customFormat="false" ht="14.25" hidden="false" customHeight="true" outlineLevel="0" collapsed="false">
      <c r="A1" s="59" t="s">
        <v>49</v>
      </c>
      <c r="B1" s="59"/>
      <c r="C1" s="59"/>
      <c r="D1" s="59"/>
    </row>
    <row r="3" customFormat="false" ht="14.25" hidden="false" customHeight="false" outlineLevel="0" collapsed="false">
      <c r="A3" s="60" t="s">
        <v>50</v>
      </c>
      <c r="B3" s="60" t="s">
        <v>51</v>
      </c>
      <c r="C3" s="60" t="s">
        <v>52</v>
      </c>
      <c r="D3" s="60" t="s">
        <v>53</v>
      </c>
    </row>
    <row r="4" customFormat="false" ht="14.25" hidden="false" customHeight="false" outlineLevel="0" collapsed="false">
      <c r="A4" s="0" t="s">
        <v>54</v>
      </c>
      <c r="B4" s="61" t="n">
        <v>46285</v>
      </c>
      <c r="C4" s="0" t="s">
        <v>55</v>
      </c>
      <c r="D4" s="0" t="s">
        <v>56</v>
      </c>
    </row>
    <row r="5" customFormat="false" ht="14.25" hidden="false" customHeight="false" outlineLevel="0" collapsed="false">
      <c r="A5" s="0" t="s">
        <v>57</v>
      </c>
      <c r="B5" s="62" t="n">
        <v>33</v>
      </c>
      <c r="C5" s="0" t="s">
        <v>58</v>
      </c>
      <c r="D5" s="0" t="s">
        <v>59</v>
      </c>
    </row>
    <row r="6" customFormat="false" ht="14.25" hidden="false" customHeight="false" outlineLevel="0" collapsed="false">
      <c r="A6" s="0" t="s">
        <v>60</v>
      </c>
      <c r="B6" s="62" t="n">
        <v>55</v>
      </c>
      <c r="C6" s="0" t="s">
        <v>61</v>
      </c>
      <c r="D6" s="0" t="s">
        <v>62</v>
      </c>
    </row>
    <row r="7" customFormat="false" ht="14.25" hidden="false" customHeight="false" outlineLevel="0" collapsed="false">
      <c r="A7" s="0" t="s">
        <v>63</v>
      </c>
      <c r="B7" s="63" t="n">
        <v>833860</v>
      </c>
      <c r="C7" s="0" t="s">
        <v>64</v>
      </c>
      <c r="D7" s="64" t="s">
        <v>65</v>
      </c>
    </row>
    <row r="8" customFormat="false" ht="14.25" hidden="false" customHeight="false" outlineLevel="0" collapsed="false">
      <c r="A8" s="0" t="s">
        <v>66</v>
      </c>
      <c r="B8" s="65" t="n">
        <f aca="false">B7/1000</f>
        <v>833.86</v>
      </c>
      <c r="C8" s="0" t="s">
        <v>67</v>
      </c>
    </row>
    <row r="9" customFormat="false" ht="14.25" hidden="false" customHeight="false" outlineLevel="0" collapsed="false">
      <c r="A9" s="0" t="s">
        <v>68</v>
      </c>
      <c r="B9" s="63" t="n">
        <v>509360</v>
      </c>
      <c r="C9" s="0" t="s">
        <v>64</v>
      </c>
      <c r="D9" s="64" t="s">
        <v>65</v>
      </c>
    </row>
    <row r="10" customFormat="false" ht="14.25" hidden="false" customHeight="false" outlineLevel="0" collapsed="false">
      <c r="A10" s="0" t="s">
        <v>69</v>
      </c>
      <c r="B10" s="65" t="n">
        <f aca="false">B9/1000</f>
        <v>509.36</v>
      </c>
      <c r="C10" s="0" t="s">
        <v>67</v>
      </c>
    </row>
    <row r="11" customFormat="false" ht="14.25" hidden="false" customHeight="false" outlineLevel="0" collapsed="false">
      <c r="A11" s="0" t="s">
        <v>70</v>
      </c>
      <c r="B11" s="62" t="n">
        <v>25</v>
      </c>
      <c r="C11" s="0" t="s">
        <v>71</v>
      </c>
      <c r="D11" s="0" t="s">
        <v>72</v>
      </c>
    </row>
    <row r="12" customFormat="false" ht="14.25" hidden="false" customHeight="false" outlineLevel="0" collapsed="false">
      <c r="A12" s="0" t="s">
        <v>73</v>
      </c>
      <c r="B12" s="62" t="n">
        <v>30</v>
      </c>
      <c r="C12" s="0" t="s">
        <v>71</v>
      </c>
      <c r="D12" s="0" t="s">
        <v>72</v>
      </c>
    </row>
    <row r="13" customFormat="false" ht="14.25" hidden="false" customHeight="false" outlineLevel="0" collapsed="false">
      <c r="A13" s="0" t="s">
        <v>74</v>
      </c>
      <c r="B13" s="66" t="n">
        <v>0.02</v>
      </c>
      <c r="C13" s="0" t="s">
        <v>75</v>
      </c>
    </row>
    <row r="14" customFormat="false" ht="14.25" hidden="false" customHeight="false" outlineLevel="0" collapsed="false">
      <c r="A14" s="0" t="s">
        <v>76</v>
      </c>
      <c r="B14" s="66" t="n">
        <v>0.035</v>
      </c>
      <c r="C14" s="0" t="s">
        <v>75</v>
      </c>
    </row>
    <row r="15" customFormat="false" ht="14.25" hidden="false" customHeight="false" outlineLevel="0" collapsed="false">
      <c r="A15" s="0" t="s">
        <v>77</v>
      </c>
      <c r="B15" s="67" t="n">
        <v>0.032</v>
      </c>
      <c r="C15" s="0" t="s">
        <v>75</v>
      </c>
    </row>
    <row r="16" customFormat="false" ht="14.25" hidden="false" customHeight="false" outlineLevel="0" collapsed="false">
      <c r="A16" s="0" t="s">
        <v>78</v>
      </c>
      <c r="B16" s="67" t="n">
        <v>0.03</v>
      </c>
      <c r="C16" s="0" t="s">
        <v>75</v>
      </c>
    </row>
    <row r="17" customFormat="false" ht="14.25" hidden="false" customHeight="false" outlineLevel="0" collapsed="false">
      <c r="A17" s="0" t="s">
        <v>79</v>
      </c>
      <c r="B17" s="67" t="n">
        <v>0.028</v>
      </c>
      <c r="C17" s="0" t="s">
        <v>75</v>
      </c>
    </row>
    <row r="18" customFormat="false" ht="14.25" hidden="false" customHeight="false" outlineLevel="0" collapsed="false">
      <c r="A18" s="0" t="s">
        <v>80</v>
      </c>
      <c r="B18" s="67" t="n">
        <v>0.025</v>
      </c>
      <c r="C18" s="0" t="s">
        <v>75</v>
      </c>
    </row>
    <row r="19" customFormat="false" ht="14.25" hidden="false" customHeight="false" outlineLevel="0" collapsed="false">
      <c r="A19" s="0" t="s">
        <v>81</v>
      </c>
      <c r="B19" s="63" t="n">
        <v>7000</v>
      </c>
      <c r="C19" s="0" t="s">
        <v>82</v>
      </c>
      <c r="D19" s="64" t="s">
        <v>83</v>
      </c>
    </row>
    <row r="20" customFormat="false" ht="14.25" hidden="false" customHeight="false" outlineLevel="0" collapsed="false">
      <c r="A20" s="0" t="s">
        <v>84</v>
      </c>
      <c r="B20" s="63" t="n">
        <v>0</v>
      </c>
      <c r="C20" s="0" t="s">
        <v>67</v>
      </c>
    </row>
    <row r="21" customFormat="false" ht="14.25" hidden="false" customHeight="false" outlineLevel="0" collapsed="false">
      <c r="A21" s="0" t="s">
        <v>85</v>
      </c>
      <c r="B21" s="63" t="n">
        <v>0</v>
      </c>
      <c r="C21" s="0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5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27" activeCellId="0" sqref="D27"/>
    </sheetView>
  </sheetViews>
  <sheetFormatPr defaultColWidth="9.0664062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15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4" min="13" style="1" width="16"/>
    <col collapsed="false" customWidth="true" hidden="false" outlineLevel="0" max="15" min="15" style="1" width="13"/>
    <col collapsed="false" customWidth="true" hidden="false" outlineLevel="0" max="16" min="16" style="0" width="24"/>
  </cols>
  <sheetData>
    <row r="1" customFormat="false" ht="14.25" hidden="false" customHeight="true" outlineLevel="0" collapsed="false">
      <c r="A1" s="59" t="s">
        <v>87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3" customFormat="false" ht="28.5" hidden="false" customHeight="false" outlineLevel="0" collapsed="false">
      <c r="A3" s="60" t="s">
        <v>88</v>
      </c>
      <c r="B3" s="60" t="s">
        <v>89</v>
      </c>
      <c r="C3" s="60" t="s">
        <v>90</v>
      </c>
      <c r="D3" s="60" t="s">
        <v>91</v>
      </c>
      <c r="E3" s="60" t="s">
        <v>92</v>
      </c>
      <c r="F3" s="60" t="s">
        <v>93</v>
      </c>
      <c r="G3" s="60" t="s">
        <v>94</v>
      </c>
      <c r="H3" s="60" t="s">
        <v>95</v>
      </c>
      <c r="I3" s="60" t="s">
        <v>96</v>
      </c>
      <c r="J3" s="60" t="s">
        <v>97</v>
      </c>
      <c r="K3" s="60" t="s">
        <v>98</v>
      </c>
      <c r="L3" s="60" t="s">
        <v>99</v>
      </c>
      <c r="M3" s="60" t="s">
        <v>100</v>
      </c>
      <c r="N3" s="60" t="s">
        <v>101</v>
      </c>
      <c r="O3" s="60" t="s">
        <v>102</v>
      </c>
      <c r="P3" s="60" t="s">
        <v>53</v>
      </c>
    </row>
    <row r="4" customFormat="false" ht="14.25" hidden="false" customHeight="false" outlineLevel="0" collapsed="false">
      <c r="A4" s="0" t="n">
        <v>1</v>
      </c>
      <c r="B4" s="68" t="n">
        <f aca="false">'VARIABLES MODELO'!$B$4+A4-1</f>
        <v>46285</v>
      </c>
      <c r="C4" s="0" t="str">
        <f aca="false">IF(A4&lt;=15,"Hiper-Precoz 23%","Precoz 19%")</f>
        <v>Hiper-Precoz 23%</v>
      </c>
      <c r="D4" s="2" t="n">
        <f aca="false">+'VARIABLES MODELO'!B6</f>
        <v>55</v>
      </c>
      <c r="E4" s="2" t="n">
        <f aca="false">HIPER!C6</f>
        <v>-0.1</v>
      </c>
      <c r="F4" s="69" t="n">
        <f aca="false">IF(A4&lt;=5,'VARIABLES MODELO'!$B$13,IF(A4&lt;=15,'VARIABLES MODELO'!$B$14,IF(A4&lt;=50,'VARIABLES MODELO'!$B$15,IF(A4&lt;=80,'VARIABLES MODELO'!$B$16,IF(A4&lt;=120,'VARIABLES MODELO'!$B$17,'VARIABLES MODELO'!$B$18)))))</f>
        <v>0.02</v>
      </c>
      <c r="G4" s="3" t="n">
        <f aca="false">D4*F4</f>
        <v>1.1</v>
      </c>
      <c r="H4" s="70"/>
      <c r="I4" s="3" t="n">
        <f aca="false">IF(H4="",G4,H4)</f>
        <v>1.1</v>
      </c>
      <c r="J4" s="71" t="n">
        <f aca="false">IF(A4&lt;=15,'VARIABLES MODELO'!$B$8,'VARIABLES MODELO'!$B$10)</f>
        <v>833.86</v>
      </c>
      <c r="K4" s="71" t="n">
        <f aca="false">I4*J4</f>
        <v>917.246</v>
      </c>
      <c r="L4" s="71" t="n">
        <f aca="false">SUM($K$4:K4)</f>
        <v>917.246</v>
      </c>
      <c r="M4" s="2" t="n">
        <f aca="false">MROUND(I4*'VARIABLES MODELO'!$B$5,25)</f>
        <v>25</v>
      </c>
      <c r="N4" s="2" t="n">
        <f aca="false">IF(A4&lt;=15,MROUND(M4/'VARIABLES MODELO'!$B$11,0.5),MROUND(M4/'VARIABLES MODELO'!$B$12,0.5))</f>
        <v>1</v>
      </c>
      <c r="O4" s="2" t="n">
        <f aca="false">IF(A4&lt;=15,SUM($M$4:M4)/'VARIABLES MODELO'!$B$11,SUM($M4:M$19)/'VARIABLES MODELO'!$B$12)</f>
        <v>1</v>
      </c>
    </row>
    <row r="5" customFormat="false" ht="14.25" hidden="false" customHeight="false" outlineLevel="0" collapsed="false">
      <c r="A5" s="0" t="n">
        <v>2</v>
      </c>
      <c r="B5" s="68" t="n">
        <f aca="false">'VARIABLES MODELO'!$B$4+A5-1</f>
        <v>46286</v>
      </c>
      <c r="C5" s="0" t="str">
        <f aca="false">IF(A5&lt;=15,"Hiper-Precoz 23%","Precoz 19%")</f>
        <v>Hiper-Precoz 23%</v>
      </c>
      <c r="D5" s="2" t="n">
        <f aca="false">+D4+E4</f>
        <v>54.9</v>
      </c>
      <c r="E5" s="2" t="n">
        <f aca="false">HIPER!C7</f>
        <v>-0.1</v>
      </c>
      <c r="F5" s="69" t="n">
        <f aca="false">IF(A5&lt;=5,'VARIABLES MODELO'!$B$13,IF(A5&lt;=15,'VARIABLES MODELO'!$B$14,IF(A5&lt;=50,'VARIABLES MODELO'!$B$15,IF(A5&lt;=80,'VARIABLES MODELO'!$B$16,IF(A5&lt;=120,'VARIABLES MODELO'!$B$17,'VARIABLES MODELO'!$B$18)))))</f>
        <v>0.02</v>
      </c>
      <c r="G5" s="3" t="n">
        <f aca="false">D5*F5</f>
        <v>1.098</v>
      </c>
      <c r="H5" s="70"/>
      <c r="I5" s="3" t="n">
        <f aca="false">IF(H5="",G5,H5)</f>
        <v>1.098</v>
      </c>
      <c r="J5" s="71" t="n">
        <f aca="false">IF(A5&lt;=15,'VARIABLES MODELO'!$B$8,'VARIABLES MODELO'!$B$10)</f>
        <v>833.86</v>
      </c>
      <c r="K5" s="71" t="n">
        <f aca="false">I5*J5</f>
        <v>915.57828</v>
      </c>
      <c r="L5" s="71" t="n">
        <f aca="false">SUM($K$4:K5)</f>
        <v>1832.82428</v>
      </c>
      <c r="M5" s="2" t="n">
        <f aca="false">MROUND(I5*'VARIABLES MODELO'!$B$5,25)</f>
        <v>25</v>
      </c>
      <c r="N5" s="2" t="n">
        <f aca="false">IF(A5&lt;=15,MROUND(M5/'VARIABLES MODELO'!$B$11,0.5),MROUND(M5/'VARIABLES MODELO'!$B$12,0.5))</f>
        <v>1</v>
      </c>
      <c r="O5" s="2" t="n">
        <f aca="false">IF(A5&lt;=15,SUM($M$4:M5)/'VARIABLES MODELO'!$B$11,SUM($M5:M$19)/'VARIABLES MODELO'!$B$12)</f>
        <v>2</v>
      </c>
    </row>
    <row r="6" customFormat="false" ht="14.25" hidden="false" customHeight="false" outlineLevel="0" collapsed="false">
      <c r="A6" s="0" t="n">
        <v>3</v>
      </c>
      <c r="B6" s="68" t="n">
        <f aca="false">'VARIABLES MODELO'!$B$4+A6-1</f>
        <v>46287</v>
      </c>
      <c r="C6" s="0" t="str">
        <f aca="false">IF(A6&lt;=15,"Hiper-Precoz 23%","Precoz 19%")</f>
        <v>Hiper-Precoz 23%</v>
      </c>
      <c r="D6" s="2" t="n">
        <f aca="false">+D5+E5</f>
        <v>54.8</v>
      </c>
      <c r="E6" s="2" t="n">
        <f aca="false">HIPER!C8</f>
        <v>-0.1</v>
      </c>
      <c r="F6" s="69" t="n">
        <f aca="false">IF(A6&lt;=5,'VARIABLES MODELO'!$B$13,IF(A6&lt;=15,'VARIABLES MODELO'!$B$14,IF(A6&lt;=50,'VARIABLES MODELO'!$B$15,IF(A6&lt;=80,'VARIABLES MODELO'!$B$16,IF(A6&lt;=120,'VARIABLES MODELO'!$B$17,'VARIABLES MODELO'!$B$18)))))</f>
        <v>0.02</v>
      </c>
      <c r="G6" s="3" t="n">
        <f aca="false">D6*F6</f>
        <v>1.096</v>
      </c>
      <c r="H6" s="70"/>
      <c r="I6" s="3" t="n">
        <f aca="false">IF(H6="",G6,H6)</f>
        <v>1.096</v>
      </c>
      <c r="J6" s="71" t="n">
        <f aca="false">IF(A6&lt;=15,'VARIABLES MODELO'!$B$8,'VARIABLES MODELO'!$B$10)</f>
        <v>833.86</v>
      </c>
      <c r="K6" s="71" t="n">
        <f aca="false">I6*J6</f>
        <v>913.91056</v>
      </c>
      <c r="L6" s="71" t="n">
        <f aca="false">SUM($K$4:K6)</f>
        <v>2746.73484</v>
      </c>
      <c r="M6" s="2" t="n">
        <f aca="false">MROUND(I6*'VARIABLES MODELO'!$B$5,25)</f>
        <v>25</v>
      </c>
      <c r="N6" s="2" t="n">
        <f aca="false">IF(A6&lt;=15,MROUND(M6/'VARIABLES MODELO'!$B$11,0.5),MROUND(M6/'VARIABLES MODELO'!$B$12,0.5))</f>
        <v>1</v>
      </c>
      <c r="O6" s="2" t="n">
        <f aca="false">IF(A6&lt;=15,SUM($M$4:M6)/'VARIABLES MODELO'!$B$11,SUM($M6:M$19)/'VARIABLES MODELO'!$B$12)</f>
        <v>3</v>
      </c>
    </row>
    <row r="7" customFormat="false" ht="14.25" hidden="false" customHeight="false" outlineLevel="0" collapsed="false">
      <c r="A7" s="0" t="n">
        <v>4</v>
      </c>
      <c r="B7" s="68" t="n">
        <f aca="false">'VARIABLES MODELO'!$B$4+A7-1</f>
        <v>46288</v>
      </c>
      <c r="C7" s="0" t="str">
        <f aca="false">IF(A7&lt;=15,"Hiper-Precoz 23%","Precoz 19%")</f>
        <v>Hiper-Precoz 23%</v>
      </c>
      <c r="D7" s="2" t="n">
        <f aca="false">+D6+E6</f>
        <v>54.7</v>
      </c>
      <c r="E7" s="2" t="n">
        <f aca="false">HIPER!C9</f>
        <v>-0.1</v>
      </c>
      <c r="F7" s="69" t="n">
        <f aca="false">IF(A7&lt;=5,'VARIABLES MODELO'!$B$13,IF(A7&lt;=15,'VARIABLES MODELO'!$B$14,IF(A7&lt;=50,'VARIABLES MODELO'!$B$15,IF(A7&lt;=80,'VARIABLES MODELO'!$B$16,IF(A7&lt;=120,'VARIABLES MODELO'!$B$17,'VARIABLES MODELO'!$B$18)))))</f>
        <v>0.02</v>
      </c>
      <c r="G7" s="3" t="n">
        <f aca="false">D7*F7</f>
        <v>1.094</v>
      </c>
      <c r="H7" s="70"/>
      <c r="I7" s="3" t="n">
        <f aca="false">IF(H7="",G7,H7)</f>
        <v>1.094</v>
      </c>
      <c r="J7" s="71" t="n">
        <f aca="false">IF(A7&lt;=15,'VARIABLES MODELO'!$B$8,'VARIABLES MODELO'!$B$10)</f>
        <v>833.86</v>
      </c>
      <c r="K7" s="71" t="n">
        <f aca="false">I7*J7</f>
        <v>912.24284</v>
      </c>
      <c r="L7" s="71" t="n">
        <f aca="false">SUM($K$4:K7)</f>
        <v>3658.97768</v>
      </c>
      <c r="M7" s="2" t="n">
        <f aca="false">MROUND(I7*'VARIABLES MODELO'!$B$5,25)</f>
        <v>25</v>
      </c>
      <c r="N7" s="2" t="n">
        <f aca="false">IF(A7&lt;=15,MROUND(M7/'VARIABLES MODELO'!$B$11,0.5),MROUND(M7/'VARIABLES MODELO'!$B$12,0.5))</f>
        <v>1</v>
      </c>
      <c r="O7" s="2" t="n">
        <f aca="false">IF(A7&lt;=15,SUM($M$4:M7)/'VARIABLES MODELO'!$B$11,SUM($M7:M$19)/'VARIABLES MODELO'!$B$12)</f>
        <v>4</v>
      </c>
    </row>
    <row r="8" customFormat="false" ht="14.25" hidden="false" customHeight="false" outlineLevel="0" collapsed="false">
      <c r="A8" s="0" t="n">
        <v>5</v>
      </c>
      <c r="B8" s="68" t="n">
        <f aca="false">'VARIABLES MODELO'!$B$4+A8-1</f>
        <v>46289</v>
      </c>
      <c r="C8" s="0" t="str">
        <f aca="false">IF(A8&lt;=15,"Hiper-Precoz 23%","Precoz 19%")</f>
        <v>Hiper-Precoz 23%</v>
      </c>
      <c r="D8" s="2" t="n">
        <f aca="false">+D7+E7</f>
        <v>54.6</v>
      </c>
      <c r="E8" s="2" t="n">
        <f aca="false">HIPER!C10</f>
        <v>-0.1</v>
      </c>
      <c r="F8" s="69" t="n">
        <f aca="false">IF(A8&lt;=5,'VARIABLES MODELO'!$B$13,IF(A8&lt;=15,'VARIABLES MODELO'!$B$14,IF(A8&lt;=50,'VARIABLES MODELO'!$B$15,IF(A8&lt;=80,'VARIABLES MODELO'!$B$16,IF(A8&lt;=120,'VARIABLES MODELO'!$B$17,'VARIABLES MODELO'!$B$18)))))</f>
        <v>0.02</v>
      </c>
      <c r="G8" s="3" t="n">
        <f aca="false">D8*F8</f>
        <v>1.092</v>
      </c>
      <c r="H8" s="70"/>
      <c r="I8" s="3" t="n">
        <f aca="false">IF(H8="",G8,H8)</f>
        <v>1.092</v>
      </c>
      <c r="J8" s="71" t="n">
        <f aca="false">IF(A8&lt;=15,'VARIABLES MODELO'!$B$8,'VARIABLES MODELO'!$B$10)</f>
        <v>833.86</v>
      </c>
      <c r="K8" s="71" t="n">
        <f aca="false">I8*J8</f>
        <v>910.57512</v>
      </c>
      <c r="L8" s="71" t="n">
        <f aca="false">SUM($K$4:K8)</f>
        <v>4569.5528</v>
      </c>
      <c r="M8" s="2" t="n">
        <f aca="false">MROUND(I8*'VARIABLES MODELO'!$B$5,25)</f>
        <v>25</v>
      </c>
      <c r="N8" s="2" t="n">
        <f aca="false">IF(A8&lt;=15,MROUND(M8/'VARIABLES MODELO'!$B$11,0.5),MROUND(M8/'VARIABLES MODELO'!$B$12,0.5))</f>
        <v>1</v>
      </c>
      <c r="O8" s="2" t="n">
        <f aca="false">IF(A8&lt;=15,SUM($M$4:M8)/'VARIABLES MODELO'!$B$11,SUM($M8:M$19)/'VARIABLES MODELO'!$B$12)</f>
        <v>5</v>
      </c>
    </row>
    <row r="9" customFormat="false" ht="14.25" hidden="false" customHeight="false" outlineLevel="0" collapsed="false">
      <c r="A9" s="0" t="n">
        <v>6</v>
      </c>
      <c r="B9" s="68" t="n">
        <f aca="false">'VARIABLES MODELO'!$B$4+A9-1</f>
        <v>46290</v>
      </c>
      <c r="C9" s="0" t="str">
        <f aca="false">IF(A9&lt;=15,"Hiper-Precoz 23%","Precoz 19%")</f>
        <v>Hiper-Precoz 23%</v>
      </c>
      <c r="D9" s="2" t="n">
        <f aca="false">+D8+E8</f>
        <v>54.5</v>
      </c>
      <c r="E9" s="2" t="n">
        <f aca="false">HIPER!C11</f>
        <v>-0.1</v>
      </c>
      <c r="F9" s="69" t="n">
        <f aca="false">IF(A9&lt;=5,'VARIABLES MODELO'!$B$13,IF(A9&lt;=15,'VARIABLES MODELO'!$B$14,IF(A9&lt;=50,'VARIABLES MODELO'!$B$15,IF(A9&lt;=80,'VARIABLES MODELO'!$B$16,IF(A9&lt;=120,'VARIABLES MODELO'!$B$17,'VARIABLES MODELO'!$B$18)))))</f>
        <v>0.035</v>
      </c>
      <c r="G9" s="3" t="n">
        <f aca="false">D9*F9</f>
        <v>1.9075</v>
      </c>
      <c r="H9" s="70"/>
      <c r="I9" s="3" t="n">
        <f aca="false">IF(H9="",G9,H9)</f>
        <v>1.9075</v>
      </c>
      <c r="J9" s="71" t="n">
        <f aca="false">IF(A9&lt;=15,'VARIABLES MODELO'!$B$8,'VARIABLES MODELO'!$B$10)</f>
        <v>833.86</v>
      </c>
      <c r="K9" s="71" t="n">
        <f aca="false">I9*J9</f>
        <v>1590.58795</v>
      </c>
      <c r="L9" s="71" t="n">
        <f aca="false">SUM($K$4:K9)</f>
        <v>6160.14075</v>
      </c>
      <c r="M9" s="2" t="n">
        <f aca="false">MROUND(I9*'VARIABLES MODELO'!$B$5,25)</f>
        <v>75</v>
      </c>
      <c r="N9" s="2" t="n">
        <f aca="false">IF(A9&lt;=15,MROUND(M9/'VARIABLES MODELO'!$B$11,0.5),MROUND(M9/'VARIABLES MODELO'!$B$12,0.5))</f>
        <v>3</v>
      </c>
      <c r="O9" s="2" t="n">
        <f aca="false">IF(A9&lt;=15,SUM($M$4:M9)/'VARIABLES MODELO'!$B$11,SUM($M9:M$19)/'VARIABLES MODELO'!$B$12)</f>
        <v>8</v>
      </c>
    </row>
    <row r="10" customFormat="false" ht="14.25" hidden="false" customHeight="false" outlineLevel="0" collapsed="false">
      <c r="A10" s="0" t="n">
        <v>7</v>
      </c>
      <c r="B10" s="68" t="n">
        <f aca="false">'VARIABLES MODELO'!$B$4+A10-1</f>
        <v>46291</v>
      </c>
      <c r="C10" s="0" t="str">
        <f aca="false">IF(A10&lt;=15,"Hiper-Precoz 23%","Precoz 19%")</f>
        <v>Hiper-Precoz 23%</v>
      </c>
      <c r="D10" s="2" t="n">
        <f aca="false">+D9+E9</f>
        <v>54.4</v>
      </c>
      <c r="E10" s="2" t="n">
        <f aca="false">HIPER!C12</f>
        <v>-0.1</v>
      </c>
      <c r="F10" s="69" t="n">
        <f aca="false">IF(A10&lt;=5,'VARIABLES MODELO'!$B$13,IF(A10&lt;=15,'VARIABLES MODELO'!$B$14,IF(A10&lt;=50,'VARIABLES MODELO'!$B$15,IF(A10&lt;=80,'VARIABLES MODELO'!$B$16,IF(A10&lt;=120,'VARIABLES MODELO'!$B$17,'VARIABLES MODELO'!$B$18)))))</f>
        <v>0.035</v>
      </c>
      <c r="G10" s="3" t="n">
        <f aca="false">D10*F10</f>
        <v>1.904</v>
      </c>
      <c r="H10" s="70"/>
      <c r="I10" s="3" t="n">
        <f aca="false">IF(H10="",G10,H10)</f>
        <v>1.904</v>
      </c>
      <c r="J10" s="71" t="n">
        <f aca="false">IF(A10&lt;=15,'VARIABLES MODELO'!$B$8,'VARIABLES MODELO'!$B$10)</f>
        <v>833.86</v>
      </c>
      <c r="K10" s="71" t="n">
        <f aca="false">I10*J10</f>
        <v>1587.66944</v>
      </c>
      <c r="L10" s="71" t="n">
        <f aca="false">SUM($K$4:K10)</f>
        <v>7747.81019</v>
      </c>
      <c r="M10" s="2" t="n">
        <f aca="false">MROUND(I10*'VARIABLES MODELO'!$B$5,25)</f>
        <v>75</v>
      </c>
      <c r="N10" s="2" t="n">
        <f aca="false">IF(A10&lt;=15,MROUND(M10/'VARIABLES MODELO'!$B$11,0.5),MROUND(M10/'VARIABLES MODELO'!$B$12,0.5))</f>
        <v>3</v>
      </c>
      <c r="O10" s="2" t="n">
        <f aca="false">IF(A10&lt;=15,SUM($M$4:M10)/'VARIABLES MODELO'!$B$11,SUM($M10:M$19)/'VARIABLES MODELO'!$B$12)</f>
        <v>11</v>
      </c>
    </row>
    <row r="11" customFormat="false" ht="14.25" hidden="false" customHeight="false" outlineLevel="0" collapsed="false">
      <c r="A11" s="0" t="n">
        <v>8</v>
      </c>
      <c r="B11" s="68" t="n">
        <f aca="false">'VARIABLES MODELO'!$B$4+A11-1</f>
        <v>46292</v>
      </c>
      <c r="C11" s="0" t="str">
        <f aca="false">IF(A11&lt;=15,"Hiper-Precoz 23%","Precoz 19%")</f>
        <v>Hiper-Precoz 23%</v>
      </c>
      <c r="D11" s="2" t="n">
        <f aca="false">+D10+E10</f>
        <v>54.3</v>
      </c>
      <c r="E11" s="2" t="n">
        <f aca="false">HIPER!C13</f>
        <v>0</v>
      </c>
      <c r="F11" s="69" t="n">
        <f aca="false">IF(A11&lt;=5,'VARIABLES MODELO'!$B$13,IF(A11&lt;=15,'VARIABLES MODELO'!$B$14,IF(A11&lt;=50,'VARIABLES MODELO'!$B$15,IF(A11&lt;=80,'VARIABLES MODELO'!$B$16,IF(A11&lt;=120,'VARIABLES MODELO'!$B$17,'VARIABLES MODELO'!$B$18)))))</f>
        <v>0.035</v>
      </c>
      <c r="G11" s="3" t="n">
        <f aca="false">D11*F11</f>
        <v>1.9005</v>
      </c>
      <c r="H11" s="70"/>
      <c r="I11" s="3" t="n">
        <f aca="false">IF(H11="",G11,H11)</f>
        <v>1.9005</v>
      </c>
      <c r="J11" s="71" t="n">
        <f aca="false">IF(A11&lt;=15,'VARIABLES MODELO'!$B$8,'VARIABLES MODELO'!$B$10)</f>
        <v>833.86</v>
      </c>
      <c r="K11" s="71" t="n">
        <f aca="false">I11*J11</f>
        <v>1584.75093</v>
      </c>
      <c r="L11" s="71" t="n">
        <f aca="false">SUM($K$4:K11)</f>
        <v>9332.56112</v>
      </c>
      <c r="M11" s="2" t="n">
        <f aca="false">MROUND(I11*'VARIABLES MODELO'!$B$5,25)</f>
        <v>75</v>
      </c>
      <c r="N11" s="2" t="n">
        <f aca="false">IF(A11&lt;=15,MROUND(M11/'VARIABLES MODELO'!$B$11,0.5),MROUND(M11/'VARIABLES MODELO'!$B$12,0.5))</f>
        <v>3</v>
      </c>
      <c r="O11" s="2" t="n">
        <f aca="false">IF(A11&lt;=15,SUM($M$4:M11)/'VARIABLES MODELO'!$B$11,SUM($M11:M$19)/'VARIABLES MODELO'!$B$12)</f>
        <v>14</v>
      </c>
    </row>
    <row r="12" customFormat="false" ht="14.25" hidden="false" customHeight="false" outlineLevel="0" collapsed="false">
      <c r="A12" s="0" t="n">
        <v>9</v>
      </c>
      <c r="B12" s="68" t="n">
        <f aca="false">'VARIABLES MODELO'!$B$4+A12-1</f>
        <v>46293</v>
      </c>
      <c r="C12" s="0" t="str">
        <f aca="false">IF(A12&lt;=15,"Hiper-Precoz 23%","Precoz 19%")</f>
        <v>Hiper-Precoz 23%</v>
      </c>
      <c r="D12" s="2" t="n">
        <f aca="false">+D11+E11</f>
        <v>54.3</v>
      </c>
      <c r="E12" s="2" t="n">
        <f aca="false">HIPER!C14</f>
        <v>0.1</v>
      </c>
      <c r="F12" s="69" t="n">
        <f aca="false">IF(A12&lt;=5,'VARIABLES MODELO'!$B$13,IF(A12&lt;=15,'VARIABLES MODELO'!$B$14,IF(A12&lt;=50,'VARIABLES MODELO'!$B$15,IF(A12&lt;=80,'VARIABLES MODELO'!$B$16,IF(A12&lt;=120,'VARIABLES MODELO'!$B$17,'VARIABLES MODELO'!$B$18)))))</f>
        <v>0.035</v>
      </c>
      <c r="G12" s="3" t="n">
        <f aca="false">D12*F12</f>
        <v>1.9005</v>
      </c>
      <c r="H12" s="70"/>
      <c r="I12" s="3" t="n">
        <f aca="false">IF(H12="",G12,H12)</f>
        <v>1.9005</v>
      </c>
      <c r="J12" s="71" t="n">
        <f aca="false">IF(A12&lt;=15,'VARIABLES MODELO'!$B$8,'VARIABLES MODELO'!$B$10)</f>
        <v>833.86</v>
      </c>
      <c r="K12" s="71" t="n">
        <f aca="false">I12*J12</f>
        <v>1584.75093</v>
      </c>
      <c r="L12" s="71" t="n">
        <f aca="false">SUM($K$4:K12)</f>
        <v>10917.31205</v>
      </c>
      <c r="M12" s="2" t="n">
        <f aca="false">MROUND(I12*'VARIABLES MODELO'!$B$5,25)</f>
        <v>75</v>
      </c>
      <c r="N12" s="2" t="n">
        <f aca="false">IF(A12&lt;=15,MROUND(M12/'VARIABLES MODELO'!$B$11,0.5),MROUND(M12/'VARIABLES MODELO'!$B$12,0.5))</f>
        <v>3</v>
      </c>
      <c r="O12" s="2" t="n">
        <f aca="false">IF(A12&lt;=15,SUM($M$4:M12)/'VARIABLES MODELO'!$B$11,SUM($M12:M$19)/'VARIABLES MODELO'!$B$12)</f>
        <v>17</v>
      </c>
    </row>
    <row r="13" customFormat="false" ht="14.25" hidden="false" customHeight="false" outlineLevel="0" collapsed="false">
      <c r="A13" s="0" t="n">
        <v>10</v>
      </c>
      <c r="B13" s="68" t="n">
        <f aca="false">'VARIABLES MODELO'!$B$4+A13-1</f>
        <v>46294</v>
      </c>
      <c r="C13" s="0" t="str">
        <f aca="false">IF(A13&lt;=15,"Hiper-Precoz 23%","Precoz 19%")</f>
        <v>Hiper-Precoz 23%</v>
      </c>
      <c r="D13" s="2" t="n">
        <f aca="false">+D12+E12</f>
        <v>54.4</v>
      </c>
      <c r="E13" s="2" t="n">
        <f aca="false">HIPER!C15</f>
        <v>0.1</v>
      </c>
      <c r="F13" s="69" t="n">
        <f aca="false">IF(A13&lt;=5,'VARIABLES MODELO'!$B$13,IF(A13&lt;=15,'VARIABLES MODELO'!$B$14,IF(A13&lt;=50,'VARIABLES MODELO'!$B$15,IF(A13&lt;=80,'VARIABLES MODELO'!$B$16,IF(A13&lt;=120,'VARIABLES MODELO'!$B$17,'VARIABLES MODELO'!$B$18)))))</f>
        <v>0.035</v>
      </c>
      <c r="G13" s="3" t="n">
        <f aca="false">D13*F13</f>
        <v>1.904</v>
      </c>
      <c r="H13" s="70"/>
      <c r="I13" s="3" t="n">
        <f aca="false">IF(H13="",G13,H13)</f>
        <v>1.904</v>
      </c>
      <c r="J13" s="71" t="n">
        <f aca="false">IF(A13&lt;=15,'VARIABLES MODELO'!$B$8,'VARIABLES MODELO'!$B$10)</f>
        <v>833.86</v>
      </c>
      <c r="K13" s="71" t="n">
        <f aca="false">I13*J13</f>
        <v>1587.66944</v>
      </c>
      <c r="L13" s="71" t="n">
        <f aca="false">SUM($K$4:K13)</f>
        <v>12504.98149</v>
      </c>
      <c r="M13" s="2" t="n">
        <f aca="false">MROUND(I13*'VARIABLES MODELO'!$B$5,25)</f>
        <v>75</v>
      </c>
      <c r="N13" s="2" t="n">
        <f aca="false">IF(A13&lt;=15,MROUND(M13/'VARIABLES MODELO'!$B$11,0.5),MROUND(M13/'VARIABLES MODELO'!$B$12,0.5))</f>
        <v>3</v>
      </c>
      <c r="O13" s="2" t="n">
        <f aca="false">IF(A13&lt;=15,SUM($M$4:M13)/'VARIABLES MODELO'!$B$11,SUM($M13:M$19)/'VARIABLES MODELO'!$B$12)</f>
        <v>20</v>
      </c>
    </row>
    <row r="14" customFormat="false" ht="14.25" hidden="false" customHeight="false" outlineLevel="0" collapsed="false">
      <c r="A14" s="0" t="n">
        <v>11</v>
      </c>
      <c r="B14" s="68" t="n">
        <f aca="false">'VARIABLES MODELO'!$B$4+A14-1</f>
        <v>46295</v>
      </c>
      <c r="C14" s="0" t="str">
        <f aca="false">IF(A14&lt;=15,"Hiper-Precoz 23%","Precoz 19%")</f>
        <v>Hiper-Precoz 23%</v>
      </c>
      <c r="D14" s="2" t="n">
        <f aca="false">+D13+E13</f>
        <v>54.5</v>
      </c>
      <c r="E14" s="2" t="n">
        <f aca="false">HIPER!C16</f>
        <v>0.1</v>
      </c>
      <c r="F14" s="69" t="n">
        <f aca="false">IF(A14&lt;=5,'VARIABLES MODELO'!$B$13,IF(A14&lt;=15,'VARIABLES MODELO'!$B$14,IF(A14&lt;=50,'VARIABLES MODELO'!$B$15,IF(A14&lt;=80,'VARIABLES MODELO'!$B$16,IF(A14&lt;=120,'VARIABLES MODELO'!$B$17,'VARIABLES MODELO'!$B$18)))))</f>
        <v>0.035</v>
      </c>
      <c r="G14" s="3" t="n">
        <f aca="false">D14*F14</f>
        <v>1.9075</v>
      </c>
      <c r="H14" s="70"/>
      <c r="I14" s="3" t="n">
        <f aca="false">IF(H14="",G14,H14)</f>
        <v>1.9075</v>
      </c>
      <c r="J14" s="71" t="n">
        <f aca="false">IF(A14&lt;=15,'VARIABLES MODELO'!$B$8,'VARIABLES MODELO'!$B$10)</f>
        <v>833.86</v>
      </c>
      <c r="K14" s="71" t="n">
        <f aca="false">I14*J14</f>
        <v>1590.58795</v>
      </c>
      <c r="L14" s="71" t="n">
        <f aca="false">SUM($K$4:K14)</f>
        <v>14095.56944</v>
      </c>
      <c r="M14" s="2" t="n">
        <f aca="false">MROUND(I14*'VARIABLES MODELO'!$B$5,25)</f>
        <v>75</v>
      </c>
      <c r="N14" s="2" t="n">
        <f aca="false">IF(A14&lt;=15,MROUND(M14/'VARIABLES MODELO'!$B$11,0.5),MROUND(M14/'VARIABLES MODELO'!$B$12,0.5))</f>
        <v>3</v>
      </c>
      <c r="O14" s="2" t="n">
        <f aca="false">IF(A14&lt;=15,SUM($M$4:M14)/'VARIABLES MODELO'!$B$11,SUM($M14:M$19)/'VARIABLES MODELO'!$B$12)</f>
        <v>23</v>
      </c>
    </row>
    <row r="15" customFormat="false" ht="14.25" hidden="false" customHeight="false" outlineLevel="0" collapsed="false">
      <c r="A15" s="0" t="n">
        <v>12</v>
      </c>
      <c r="B15" s="68" t="n">
        <f aca="false">'VARIABLES MODELO'!$B$4+A15-1</f>
        <v>46296</v>
      </c>
      <c r="C15" s="0" t="str">
        <f aca="false">IF(A15&lt;=15,"Hiper-Precoz 23%","Precoz 19%")</f>
        <v>Hiper-Precoz 23%</v>
      </c>
      <c r="D15" s="2" t="n">
        <f aca="false">+D14+E14</f>
        <v>54.6</v>
      </c>
      <c r="E15" s="2" t="n">
        <f aca="false">HIPER!C17</f>
        <v>0.15</v>
      </c>
      <c r="F15" s="69" t="n">
        <f aca="false">IF(A15&lt;=5,'VARIABLES MODELO'!$B$13,IF(A15&lt;=15,'VARIABLES MODELO'!$B$14,IF(A15&lt;=50,'VARIABLES MODELO'!$B$15,IF(A15&lt;=80,'VARIABLES MODELO'!$B$16,IF(A15&lt;=120,'VARIABLES MODELO'!$B$17,'VARIABLES MODELO'!$B$18)))))</f>
        <v>0.035</v>
      </c>
      <c r="G15" s="3" t="n">
        <f aca="false">D15*F15</f>
        <v>1.911</v>
      </c>
      <c r="H15" s="70"/>
      <c r="I15" s="3" t="n">
        <f aca="false">IF(H15="",G15,H15)</f>
        <v>1.911</v>
      </c>
      <c r="J15" s="71" t="n">
        <f aca="false">IF(A15&lt;=15,'VARIABLES MODELO'!$B$8,'VARIABLES MODELO'!$B$10)</f>
        <v>833.86</v>
      </c>
      <c r="K15" s="71" t="n">
        <f aca="false">I15*J15</f>
        <v>1593.50646</v>
      </c>
      <c r="L15" s="71" t="n">
        <f aca="false">SUM($K$4:K15)</f>
        <v>15689.0759</v>
      </c>
      <c r="M15" s="2" t="n">
        <f aca="false">MROUND(I15*'VARIABLES MODELO'!$B$5,25)</f>
        <v>75</v>
      </c>
      <c r="N15" s="2" t="n">
        <f aca="false">IF(A15&lt;=15,MROUND(M15/'VARIABLES MODELO'!$B$11,0.5),MROUND(M15/'VARIABLES MODELO'!$B$12,0.5))</f>
        <v>3</v>
      </c>
      <c r="O15" s="2" t="n">
        <f aca="false">IF(A15&lt;=15,SUM($M$4:M15)/'VARIABLES MODELO'!$B$11,SUM($M15:M$19)/'VARIABLES MODELO'!$B$12)</f>
        <v>26</v>
      </c>
    </row>
    <row r="16" customFormat="false" ht="14.25" hidden="false" customHeight="false" outlineLevel="0" collapsed="false">
      <c r="A16" s="0" t="n">
        <v>13</v>
      </c>
      <c r="B16" s="68" t="n">
        <f aca="false">'VARIABLES MODELO'!$B$4+A16-1</f>
        <v>46297</v>
      </c>
      <c r="C16" s="0" t="str">
        <f aca="false">IF(A16&lt;=15,"Hiper-Precoz 23%","Precoz 19%")</f>
        <v>Hiper-Precoz 23%</v>
      </c>
      <c r="D16" s="2" t="n">
        <f aca="false">+D15+E15</f>
        <v>54.75</v>
      </c>
      <c r="E16" s="2" t="n">
        <f aca="false">HIPER!C18</f>
        <v>0.15</v>
      </c>
      <c r="F16" s="69" t="n">
        <f aca="false">IF(A16&lt;=5,'VARIABLES MODELO'!$B$13,IF(A16&lt;=15,'VARIABLES MODELO'!$B$14,IF(A16&lt;=50,'VARIABLES MODELO'!$B$15,IF(A16&lt;=80,'VARIABLES MODELO'!$B$16,IF(A16&lt;=120,'VARIABLES MODELO'!$B$17,'VARIABLES MODELO'!$B$18)))))</f>
        <v>0.035</v>
      </c>
      <c r="G16" s="3" t="n">
        <f aca="false">D16*F16</f>
        <v>1.91625</v>
      </c>
      <c r="H16" s="70"/>
      <c r="I16" s="3" t="n">
        <f aca="false">IF(H16="",G16,H16)</f>
        <v>1.91625</v>
      </c>
      <c r="J16" s="71" t="n">
        <f aca="false">IF(A16&lt;=15,'VARIABLES MODELO'!$B$8,'VARIABLES MODELO'!$B$10)</f>
        <v>833.86</v>
      </c>
      <c r="K16" s="71" t="n">
        <f aca="false">I16*J16</f>
        <v>1597.884225</v>
      </c>
      <c r="L16" s="71" t="n">
        <f aca="false">SUM($K$4:K16)</f>
        <v>17286.960125</v>
      </c>
      <c r="M16" s="2" t="n">
        <f aca="false">MROUND(I16*'VARIABLES MODELO'!$B$5,25)</f>
        <v>75</v>
      </c>
      <c r="N16" s="2" t="n">
        <f aca="false">IF(A16&lt;=15,MROUND(M16/'VARIABLES MODELO'!$B$11,0.5),MROUND(M16/'VARIABLES MODELO'!$B$12,0.5))</f>
        <v>3</v>
      </c>
      <c r="O16" s="2" t="n">
        <f aca="false">IF(A16&lt;=15,SUM($M$4:M16)/'VARIABLES MODELO'!$B$11,SUM($M16:M$19)/'VARIABLES MODELO'!$B$12)</f>
        <v>29</v>
      </c>
    </row>
    <row r="17" customFormat="false" ht="14.25" hidden="false" customHeight="false" outlineLevel="0" collapsed="false">
      <c r="A17" s="0" t="n">
        <v>14</v>
      </c>
      <c r="B17" s="68" t="n">
        <f aca="false">'VARIABLES MODELO'!$B$4+A17-1</f>
        <v>46298</v>
      </c>
      <c r="C17" s="0" t="str">
        <f aca="false">IF(A17&lt;=15,"Hiper-Precoz 23%","Precoz 19%")</f>
        <v>Hiper-Precoz 23%</v>
      </c>
      <c r="D17" s="2" t="n">
        <f aca="false">+D16+E16</f>
        <v>54.9</v>
      </c>
      <c r="E17" s="2" t="n">
        <f aca="false">HIPER!C19</f>
        <v>0.15</v>
      </c>
      <c r="F17" s="69" t="n">
        <f aca="false">IF(A17&lt;=5,'VARIABLES MODELO'!$B$13,IF(A17&lt;=15,'VARIABLES MODELO'!$B$14,IF(A17&lt;=50,'VARIABLES MODELO'!$B$15,IF(A17&lt;=80,'VARIABLES MODELO'!$B$16,IF(A17&lt;=120,'VARIABLES MODELO'!$B$17,'VARIABLES MODELO'!$B$18)))))</f>
        <v>0.035</v>
      </c>
      <c r="G17" s="3" t="n">
        <f aca="false">D17*F17</f>
        <v>1.9215</v>
      </c>
      <c r="H17" s="70"/>
      <c r="I17" s="3" t="n">
        <f aca="false">IF(H17="",G17,H17)</f>
        <v>1.9215</v>
      </c>
      <c r="J17" s="71" t="n">
        <f aca="false">IF(A17&lt;=15,'VARIABLES MODELO'!$B$8,'VARIABLES MODELO'!$B$10)</f>
        <v>833.86</v>
      </c>
      <c r="K17" s="71" t="n">
        <f aca="false">I17*J17</f>
        <v>1602.26199</v>
      </c>
      <c r="L17" s="71" t="n">
        <f aca="false">SUM($K$4:K17)</f>
        <v>18889.222115</v>
      </c>
      <c r="M17" s="2" t="n">
        <f aca="false">MROUND(I17*'VARIABLES MODELO'!$B$5,25)</f>
        <v>75</v>
      </c>
      <c r="N17" s="2" t="n">
        <f aca="false">IF(A17&lt;=15,MROUND(M17/'VARIABLES MODELO'!$B$11,0.5),MROUND(M17/'VARIABLES MODELO'!$B$12,0.5))</f>
        <v>3</v>
      </c>
      <c r="O17" s="2" t="n">
        <f aca="false">IF(A17&lt;=15,SUM($M$4:M17)/'VARIABLES MODELO'!$B$11,SUM($M17:M$19)/'VARIABLES MODELO'!$B$12)</f>
        <v>32</v>
      </c>
    </row>
    <row r="18" s="79" customFormat="true" ht="14.25" hidden="false" customHeight="false" outlineLevel="0" collapsed="false">
      <c r="A18" s="72" t="n">
        <v>15</v>
      </c>
      <c r="B18" s="73" t="n">
        <f aca="false">'VARIABLES MODELO'!$B$4+A18-1</f>
        <v>46299</v>
      </c>
      <c r="C18" s="72" t="str">
        <f aca="false">IF(A18&lt;=15,"Hiper-Precoz 23%","Precoz 19%")</f>
        <v>Hiper-Precoz 23%</v>
      </c>
      <c r="D18" s="74" t="n">
        <f aca="false">+D17+E17</f>
        <v>55.05</v>
      </c>
      <c r="E18" s="75" t="n">
        <f aca="false">HIPER!C20</f>
        <v>0.15</v>
      </c>
      <c r="F18" s="76" t="n">
        <f aca="false">IF(A18&lt;=5,'VARIABLES MODELO'!$B$13,IF(A18&lt;=15,'VARIABLES MODELO'!$B$14,IF(A18&lt;=50,'VARIABLES MODELO'!$B$15,IF(A18&lt;=80,'VARIABLES MODELO'!$B$16,IF(A18&lt;=120,'VARIABLES MODELO'!$B$17,'VARIABLES MODELO'!$B$18)))))</f>
        <v>0.035</v>
      </c>
      <c r="G18" s="77" t="n">
        <f aca="false">D18*F18</f>
        <v>1.92675</v>
      </c>
      <c r="H18" s="77"/>
      <c r="I18" s="77" t="n">
        <f aca="false">IF(H18="",G18,H18)</f>
        <v>1.92675</v>
      </c>
      <c r="J18" s="78" t="n">
        <f aca="false">IF(A18&lt;=15,'VARIABLES MODELO'!$B$8,'VARIABLES MODELO'!$B$10)</f>
        <v>833.86</v>
      </c>
      <c r="K18" s="78" t="n">
        <f aca="false">I18*J18</f>
        <v>1606.639755</v>
      </c>
      <c r="L18" s="78" t="n">
        <f aca="false">SUM($K$4:K18)</f>
        <v>20495.86187</v>
      </c>
      <c r="M18" s="75" t="n">
        <f aca="false">MROUND(I18*'VARIABLES MODELO'!$B$5,25)</f>
        <v>75</v>
      </c>
      <c r="N18" s="75" t="n">
        <f aca="false">IF(A18&lt;=15,MROUND(M18/'VARIABLES MODELO'!$B$11,0.5),MROUND(M18/'VARIABLES MODELO'!$B$12,0.5))</f>
        <v>3</v>
      </c>
      <c r="O18" s="75" t="n">
        <f aca="false">IF(A18&lt;=15,SUM($M$4:M18)/'VARIABLES MODELO'!$B$11,SUM($M18:M$19)/'VARIABLES MODELO'!$B$12)</f>
        <v>35</v>
      </c>
    </row>
    <row r="19" customFormat="false" ht="14.25" hidden="false" customHeight="false" outlineLevel="0" collapsed="false">
      <c r="A19" s="0" t="n">
        <v>16</v>
      </c>
      <c r="B19" s="68" t="n">
        <f aca="false">'VARIABLES MODELO'!$B$4+A19-1</f>
        <v>46300</v>
      </c>
      <c r="C19" s="0" t="str">
        <f aca="false">IF(A19&lt;=15,"Hiper-Precoz 23%","Precoz 19%")</f>
        <v>Precoz 19%</v>
      </c>
      <c r="D19" s="2" t="n">
        <f aca="false">+D18+E18</f>
        <v>55.2</v>
      </c>
      <c r="E19" s="2" t="n">
        <f aca="false">PRECOZ!C6</f>
        <v>0.25</v>
      </c>
      <c r="F19" s="69" t="n">
        <f aca="false">IF(A19&lt;=5,'VARIABLES MODELO'!$B$13,IF(A19&lt;=15,'VARIABLES MODELO'!$B$14,IF(A19&lt;=50,'VARIABLES MODELO'!$B$15,IF(A19&lt;=80,'VARIABLES MODELO'!$B$16,IF(A19&lt;=120,'VARIABLES MODELO'!$B$17,'VARIABLES MODELO'!$B$18)))))</f>
        <v>0.032</v>
      </c>
      <c r="G19" s="3" t="n">
        <f aca="false">D19*F19</f>
        <v>1.7664</v>
      </c>
      <c r="H19" s="70"/>
      <c r="I19" s="3" t="n">
        <f aca="false">IF(H19="",G19,H19)</f>
        <v>1.7664</v>
      </c>
      <c r="J19" s="71" t="n">
        <f aca="false">IF(A19&lt;=15,'VARIABLES MODELO'!$B$8,'VARIABLES MODELO'!$B$10)</f>
        <v>509.36</v>
      </c>
      <c r="K19" s="71" t="n">
        <f aca="false">I19*J19</f>
        <v>899.733504</v>
      </c>
      <c r="L19" s="71" t="n">
        <f aca="false">SUM($K$4:K19)</f>
        <v>21395.595374</v>
      </c>
      <c r="M19" s="2" t="n">
        <f aca="false">MROUND(I19*'VARIABLES MODELO'!$B$5,30)</f>
        <v>60</v>
      </c>
      <c r="N19" s="2" t="n">
        <f aca="false">IF(A19&lt;=15,MROUND(M19/'VARIABLES MODELO'!$B$11,0.5),MROUND(M19/'VARIABLES MODELO'!$B$12,0.5))</f>
        <v>2</v>
      </c>
      <c r="O19" s="2" t="n">
        <f aca="false">IF(A19&lt;=15,SUM($M$4:M19)/'VARIABLES MODELO'!$B$11,SUM($M$19:M19)/'VARIABLES MODELO'!$B$12)</f>
        <v>2</v>
      </c>
    </row>
    <row r="20" customFormat="false" ht="14.25" hidden="false" customHeight="false" outlineLevel="0" collapsed="false">
      <c r="A20" s="0" t="n">
        <v>17</v>
      </c>
      <c r="B20" s="68" t="n">
        <f aca="false">'VARIABLES MODELO'!$B$4+A20-1</f>
        <v>46301</v>
      </c>
      <c r="C20" s="0" t="str">
        <f aca="false">IF(A20&lt;=15,"Hiper-Precoz 23%","Precoz 19%")</f>
        <v>Precoz 19%</v>
      </c>
      <c r="D20" s="2" t="n">
        <f aca="false">+D19+E19</f>
        <v>55.45</v>
      </c>
      <c r="E20" s="2" t="n">
        <f aca="false">PRECOZ!C7</f>
        <v>0.25</v>
      </c>
      <c r="F20" s="69" t="n">
        <f aca="false">IF(A20&lt;=5,'VARIABLES MODELO'!$B$13,IF(A20&lt;=15,'VARIABLES MODELO'!$B$14,IF(A20&lt;=50,'VARIABLES MODELO'!$B$15,IF(A20&lt;=80,'VARIABLES MODELO'!$B$16,IF(A20&lt;=120,'VARIABLES MODELO'!$B$17,'VARIABLES MODELO'!$B$18)))))</f>
        <v>0.032</v>
      </c>
      <c r="G20" s="3" t="n">
        <f aca="false">D20*F20</f>
        <v>1.7744</v>
      </c>
      <c r="H20" s="70"/>
      <c r="I20" s="3" t="n">
        <f aca="false">IF(H20="",G20,H20)</f>
        <v>1.7744</v>
      </c>
      <c r="J20" s="71" t="n">
        <f aca="false">IF(A20&lt;=15,'VARIABLES MODELO'!$B$8,'VARIABLES MODELO'!$B$10)</f>
        <v>509.36</v>
      </c>
      <c r="K20" s="71" t="n">
        <f aca="false">I20*J20</f>
        <v>903.808384</v>
      </c>
      <c r="L20" s="71" t="n">
        <f aca="false">SUM($K$4:K20)</f>
        <v>22299.403758</v>
      </c>
      <c r="M20" s="2" t="n">
        <f aca="false">MROUND(I20*'VARIABLES MODELO'!$B$5,30)</f>
        <v>60</v>
      </c>
      <c r="N20" s="2" t="n">
        <f aca="false">IF(A20&lt;=15,MROUND(M20/'VARIABLES MODELO'!$B$11,0.5),MROUND(M20/'VARIABLES MODELO'!$B$12,0.5))</f>
        <v>2</v>
      </c>
      <c r="O20" s="2" t="n">
        <f aca="false">IF(A20&lt;=15,SUM($M$4:M20)/'VARIABLES MODELO'!$B$11,SUM($M$19:M20)/'VARIABLES MODELO'!$B$12)</f>
        <v>4</v>
      </c>
    </row>
    <row r="21" customFormat="false" ht="14.25" hidden="false" customHeight="false" outlineLevel="0" collapsed="false">
      <c r="A21" s="0" t="n">
        <v>18</v>
      </c>
      <c r="B21" s="68" t="n">
        <f aca="false">'VARIABLES MODELO'!$B$4+A21-1</f>
        <v>46302</v>
      </c>
      <c r="C21" s="0" t="str">
        <f aca="false">IF(A21&lt;=15,"Hiper-Precoz 23%","Precoz 19%")</f>
        <v>Precoz 19%</v>
      </c>
      <c r="D21" s="2" t="n">
        <f aca="false">+D20+E20</f>
        <v>55.7</v>
      </c>
      <c r="E21" s="2" t="n">
        <f aca="false">PRECOZ!C8</f>
        <v>0.25</v>
      </c>
      <c r="F21" s="69" t="n">
        <f aca="false">IF(A21&lt;=5,'VARIABLES MODELO'!$B$13,IF(A21&lt;=15,'VARIABLES MODELO'!$B$14,IF(A21&lt;=50,'VARIABLES MODELO'!$B$15,IF(A21&lt;=80,'VARIABLES MODELO'!$B$16,IF(A21&lt;=120,'VARIABLES MODELO'!$B$17,'VARIABLES MODELO'!$B$18)))))</f>
        <v>0.032</v>
      </c>
      <c r="G21" s="3" t="n">
        <f aca="false">D21*F21</f>
        <v>1.7824</v>
      </c>
      <c r="H21" s="70"/>
      <c r="I21" s="3" t="n">
        <f aca="false">IF(H21="",G21,H21)</f>
        <v>1.7824</v>
      </c>
      <c r="J21" s="71" t="n">
        <f aca="false">IF(A21&lt;=15,'VARIABLES MODELO'!$B$8,'VARIABLES MODELO'!$B$10)</f>
        <v>509.36</v>
      </c>
      <c r="K21" s="71" t="n">
        <f aca="false">I21*J21</f>
        <v>907.883264</v>
      </c>
      <c r="L21" s="71" t="n">
        <f aca="false">SUM($K$4:K21)</f>
        <v>23207.287022</v>
      </c>
      <c r="M21" s="2" t="n">
        <f aca="false">MROUND(I21*'VARIABLES MODELO'!$B$5,30)</f>
        <v>60</v>
      </c>
      <c r="N21" s="2" t="n">
        <f aca="false">IF(A21&lt;=15,MROUND(M21/'VARIABLES MODELO'!$B$11,0.5),MROUND(M21/'VARIABLES MODELO'!$B$12,0.5))</f>
        <v>2</v>
      </c>
      <c r="O21" s="2" t="n">
        <f aca="false">IF(A21&lt;=15,SUM($M$4:M21)/'VARIABLES MODELO'!$B$11,SUM($M$19:M21)/'VARIABLES MODELO'!$B$12)</f>
        <v>6</v>
      </c>
    </row>
    <row r="22" customFormat="false" ht="14.25" hidden="false" customHeight="false" outlineLevel="0" collapsed="false">
      <c r="A22" s="0" t="n">
        <v>19</v>
      </c>
      <c r="B22" s="68" t="n">
        <f aca="false">'VARIABLES MODELO'!$B$4+A22-1</f>
        <v>46303</v>
      </c>
      <c r="C22" s="0" t="str">
        <f aca="false">IF(A22&lt;=15,"Hiper-Precoz 23%","Precoz 19%")</f>
        <v>Precoz 19%</v>
      </c>
      <c r="D22" s="2" t="n">
        <f aca="false">+D21+E21</f>
        <v>55.95</v>
      </c>
      <c r="E22" s="2" t="n">
        <f aca="false">PRECOZ!C9</f>
        <v>0.3</v>
      </c>
      <c r="F22" s="69" t="n">
        <f aca="false">IF(A22&lt;=5,'VARIABLES MODELO'!$B$13,IF(A22&lt;=15,'VARIABLES MODELO'!$B$14,IF(A22&lt;=50,'VARIABLES MODELO'!$B$15,IF(A22&lt;=80,'VARIABLES MODELO'!$B$16,IF(A22&lt;=120,'VARIABLES MODELO'!$B$17,'VARIABLES MODELO'!$B$18)))))</f>
        <v>0.032</v>
      </c>
      <c r="G22" s="3" t="n">
        <f aca="false">D22*F22</f>
        <v>1.7904</v>
      </c>
      <c r="H22" s="70"/>
      <c r="I22" s="3" t="n">
        <f aca="false">IF(H22="",G22,H22)</f>
        <v>1.7904</v>
      </c>
      <c r="J22" s="71" t="n">
        <f aca="false">IF(A22&lt;=15,'VARIABLES MODELO'!$B$8,'VARIABLES MODELO'!$B$10)</f>
        <v>509.36</v>
      </c>
      <c r="K22" s="71" t="n">
        <f aca="false">I22*J22</f>
        <v>911.958144</v>
      </c>
      <c r="L22" s="71" t="n">
        <f aca="false">SUM($K$4:K22)</f>
        <v>24119.245166</v>
      </c>
      <c r="M22" s="2" t="n">
        <f aca="false">MROUND(I22*'VARIABLES MODELO'!$B$5,30)</f>
        <v>60</v>
      </c>
      <c r="N22" s="2" t="n">
        <f aca="false">IF(A22&lt;=15,MROUND(M22/'VARIABLES MODELO'!$B$11,0.5),MROUND(M22/'VARIABLES MODELO'!$B$12,0.5))</f>
        <v>2</v>
      </c>
      <c r="O22" s="2" t="n">
        <f aca="false">IF(A22&lt;=15,SUM($M$4:M22)/'VARIABLES MODELO'!$B$11,SUM($M$19:M22)/'VARIABLES MODELO'!$B$12)</f>
        <v>8</v>
      </c>
    </row>
    <row r="23" customFormat="false" ht="14.25" hidden="false" customHeight="false" outlineLevel="0" collapsed="false">
      <c r="A23" s="0" t="n">
        <v>20</v>
      </c>
      <c r="B23" s="68" t="n">
        <f aca="false">'VARIABLES MODELO'!$B$4+A23-1</f>
        <v>46304</v>
      </c>
      <c r="C23" s="0" t="str">
        <f aca="false">IF(A23&lt;=15,"Hiper-Precoz 23%","Precoz 19%")</f>
        <v>Precoz 19%</v>
      </c>
      <c r="D23" s="2" t="n">
        <f aca="false">+D22+E22</f>
        <v>56.25</v>
      </c>
      <c r="E23" s="2" t="n">
        <f aca="false">PRECOZ!C10</f>
        <v>0.3</v>
      </c>
      <c r="F23" s="69" t="n">
        <f aca="false">IF(A23&lt;=5,'VARIABLES MODELO'!$B$13,IF(A23&lt;=15,'VARIABLES MODELO'!$B$14,IF(A23&lt;=50,'VARIABLES MODELO'!$B$15,IF(A23&lt;=80,'VARIABLES MODELO'!$B$16,IF(A23&lt;=120,'VARIABLES MODELO'!$B$17,'VARIABLES MODELO'!$B$18)))))</f>
        <v>0.032</v>
      </c>
      <c r="G23" s="3" t="n">
        <f aca="false">D23*F23</f>
        <v>1.8</v>
      </c>
      <c r="H23" s="70"/>
      <c r="I23" s="3" t="n">
        <f aca="false">IF(H23="",G23,H23)</f>
        <v>1.8</v>
      </c>
      <c r="J23" s="71" t="n">
        <f aca="false">IF(A23&lt;=15,'VARIABLES MODELO'!$B$8,'VARIABLES MODELO'!$B$10)</f>
        <v>509.36</v>
      </c>
      <c r="K23" s="71" t="n">
        <f aca="false">I23*J23</f>
        <v>916.848</v>
      </c>
      <c r="L23" s="71" t="n">
        <f aca="false">SUM($K$4:K23)</f>
        <v>25036.093166</v>
      </c>
      <c r="M23" s="2" t="n">
        <f aca="false">MROUND(I23*'VARIABLES MODELO'!$B$5,30)</f>
        <v>60</v>
      </c>
      <c r="N23" s="2" t="n">
        <f aca="false">IF(A23&lt;=15,MROUND(M23/'VARIABLES MODELO'!$B$11,0.5),MROUND(M23/'VARIABLES MODELO'!$B$12,0.5))</f>
        <v>2</v>
      </c>
      <c r="O23" s="2" t="n">
        <f aca="false">IF(A23&lt;=15,SUM($M$4:M23)/'VARIABLES MODELO'!$B$11,SUM($M$19:M23)/'VARIABLES MODELO'!$B$12)</f>
        <v>10</v>
      </c>
    </row>
    <row r="24" customFormat="false" ht="14.25" hidden="false" customHeight="false" outlineLevel="0" collapsed="false">
      <c r="A24" s="0" t="n">
        <v>21</v>
      </c>
      <c r="B24" s="68" t="n">
        <f aca="false">'VARIABLES MODELO'!$B$4+A24-1</f>
        <v>46305</v>
      </c>
      <c r="C24" s="0" t="str">
        <f aca="false">IF(A24&lt;=15,"Hiper-Precoz 23%","Precoz 19%")</f>
        <v>Precoz 19%</v>
      </c>
      <c r="D24" s="2" t="n">
        <f aca="false">+D23+E23</f>
        <v>56.55</v>
      </c>
      <c r="E24" s="2" t="n">
        <f aca="false">PRECOZ!C11</f>
        <v>0.3</v>
      </c>
      <c r="F24" s="69" t="n">
        <f aca="false">IF(A24&lt;=5,'VARIABLES MODELO'!$B$13,IF(A24&lt;=15,'VARIABLES MODELO'!$B$14,IF(A24&lt;=50,'VARIABLES MODELO'!$B$15,IF(A24&lt;=80,'VARIABLES MODELO'!$B$16,IF(A24&lt;=120,'VARIABLES MODELO'!$B$17,'VARIABLES MODELO'!$B$18)))))</f>
        <v>0.032</v>
      </c>
      <c r="G24" s="3" t="n">
        <f aca="false">D24*F24</f>
        <v>1.8096</v>
      </c>
      <c r="H24" s="70"/>
      <c r="I24" s="3" t="n">
        <f aca="false">IF(H24="",G24,H24)</f>
        <v>1.8096</v>
      </c>
      <c r="J24" s="71" t="n">
        <f aca="false">IF(A24&lt;=15,'VARIABLES MODELO'!$B$8,'VARIABLES MODELO'!$B$10)</f>
        <v>509.36</v>
      </c>
      <c r="K24" s="71" t="n">
        <f aca="false">I24*J24</f>
        <v>921.737856</v>
      </c>
      <c r="L24" s="71" t="n">
        <f aca="false">SUM($K$4:K24)</f>
        <v>25957.831022</v>
      </c>
      <c r="M24" s="2" t="n">
        <f aca="false">MROUND(I24*'VARIABLES MODELO'!$B$5,30)</f>
        <v>60</v>
      </c>
      <c r="N24" s="2" t="n">
        <f aca="false">IF(A24&lt;=15,MROUND(M24/'VARIABLES MODELO'!$B$11,0.5),MROUND(M24/'VARIABLES MODELO'!$B$12,0.5))</f>
        <v>2</v>
      </c>
      <c r="O24" s="2" t="n">
        <f aca="false">IF(A24&lt;=15,SUM($M$4:M24)/'VARIABLES MODELO'!$B$11,SUM($M$19:M24)/'VARIABLES MODELO'!$B$12)</f>
        <v>12</v>
      </c>
    </row>
    <row r="25" customFormat="false" ht="14.25" hidden="false" customHeight="false" outlineLevel="0" collapsed="false">
      <c r="A25" s="0" t="n">
        <v>22</v>
      </c>
      <c r="B25" s="68" t="n">
        <f aca="false">'VARIABLES MODELO'!$B$4+A25-1</f>
        <v>46306</v>
      </c>
      <c r="C25" s="0" t="str">
        <f aca="false">IF(A25&lt;=15,"Hiper-Precoz 23%","Precoz 19%")</f>
        <v>Precoz 19%</v>
      </c>
      <c r="D25" s="2" t="n">
        <f aca="false">+D24+E24</f>
        <v>56.85</v>
      </c>
      <c r="E25" s="2" t="n">
        <f aca="false">PRECOZ!C12</f>
        <v>0.3</v>
      </c>
      <c r="F25" s="69" t="n">
        <f aca="false">IF(A25&lt;=5,'VARIABLES MODELO'!$B$13,IF(A25&lt;=15,'VARIABLES MODELO'!$B$14,IF(A25&lt;=50,'VARIABLES MODELO'!$B$15,IF(A25&lt;=80,'VARIABLES MODELO'!$B$16,IF(A25&lt;=120,'VARIABLES MODELO'!$B$17,'VARIABLES MODELO'!$B$18)))))</f>
        <v>0.032</v>
      </c>
      <c r="G25" s="3" t="n">
        <f aca="false">D25*F25</f>
        <v>1.8192</v>
      </c>
      <c r="H25" s="70"/>
      <c r="I25" s="3" t="n">
        <f aca="false">IF(H25="",G25,H25)</f>
        <v>1.8192</v>
      </c>
      <c r="J25" s="71" t="n">
        <f aca="false">IF(A25&lt;=15,'VARIABLES MODELO'!$B$8,'VARIABLES MODELO'!$B$10)</f>
        <v>509.36</v>
      </c>
      <c r="K25" s="71" t="n">
        <f aca="false">I25*J25</f>
        <v>926.627712</v>
      </c>
      <c r="L25" s="71" t="n">
        <f aca="false">SUM($K$4:K25)</f>
        <v>26884.458734</v>
      </c>
      <c r="M25" s="2" t="n">
        <f aca="false">MROUND(I25*'VARIABLES MODELO'!$B$5,30)</f>
        <v>60</v>
      </c>
      <c r="N25" s="2" t="n">
        <f aca="false">IF(A25&lt;=15,MROUND(M25/'VARIABLES MODELO'!$B$11,0.5),MROUND(M25/'VARIABLES MODELO'!$B$12,0.5))</f>
        <v>2</v>
      </c>
      <c r="O25" s="2" t="n">
        <f aca="false">IF(A25&lt;=15,SUM($M$4:M25)/'VARIABLES MODELO'!$B$11,SUM($M$19:M25)/'VARIABLES MODELO'!$B$12)</f>
        <v>14</v>
      </c>
    </row>
    <row r="26" customFormat="false" ht="14.25" hidden="false" customHeight="false" outlineLevel="0" collapsed="false">
      <c r="A26" s="0" t="n">
        <v>23</v>
      </c>
      <c r="B26" s="68" t="n">
        <f aca="false">'VARIABLES MODELO'!$B$4+A26-1</f>
        <v>46307</v>
      </c>
      <c r="C26" s="0" t="str">
        <f aca="false">IF(A26&lt;=15,"Hiper-Precoz 23%","Precoz 19%")</f>
        <v>Precoz 19%</v>
      </c>
      <c r="D26" s="2" t="n">
        <f aca="false">+D25+E25</f>
        <v>57.15</v>
      </c>
      <c r="E26" s="2" t="n">
        <f aca="false">PRECOZ!C13</f>
        <v>0.3</v>
      </c>
      <c r="F26" s="69" t="n">
        <f aca="false">IF(A26&lt;=5,'VARIABLES MODELO'!$B$13,IF(A26&lt;=15,'VARIABLES MODELO'!$B$14,IF(A26&lt;=50,'VARIABLES MODELO'!$B$15,IF(A26&lt;=80,'VARIABLES MODELO'!$B$16,IF(A26&lt;=120,'VARIABLES MODELO'!$B$17,'VARIABLES MODELO'!$B$18)))))</f>
        <v>0.032</v>
      </c>
      <c r="G26" s="3" t="n">
        <f aca="false">D26*F26</f>
        <v>1.8288</v>
      </c>
      <c r="H26" s="70"/>
      <c r="I26" s="3" t="n">
        <f aca="false">IF(H26="",G26,H26)</f>
        <v>1.8288</v>
      </c>
      <c r="J26" s="71" t="n">
        <f aca="false">IF(A26&lt;=15,'VARIABLES MODELO'!$B$8,'VARIABLES MODELO'!$B$10)</f>
        <v>509.36</v>
      </c>
      <c r="K26" s="71" t="n">
        <f aca="false">I26*J26</f>
        <v>931.517568</v>
      </c>
      <c r="L26" s="71" t="n">
        <f aca="false">SUM($K$4:K26)</f>
        <v>27815.976302</v>
      </c>
      <c r="M26" s="2" t="n">
        <f aca="false">MROUND(I26*'VARIABLES MODELO'!$B$5,30)</f>
        <v>60</v>
      </c>
      <c r="N26" s="2" t="n">
        <f aca="false">IF(A26&lt;=15,MROUND(M26/'VARIABLES MODELO'!$B$11,0.5),MROUND(M26/'VARIABLES MODELO'!$B$12,0.5))</f>
        <v>2</v>
      </c>
      <c r="O26" s="2" t="n">
        <f aca="false">IF(A26&lt;=15,SUM($M$4:M26)/'VARIABLES MODELO'!$B$11,SUM($M$19:M26)/'VARIABLES MODELO'!$B$12)</f>
        <v>16</v>
      </c>
    </row>
    <row r="27" customFormat="false" ht="14.25" hidden="false" customHeight="false" outlineLevel="0" collapsed="false">
      <c r="A27" s="0" t="n">
        <v>24</v>
      </c>
      <c r="B27" s="68" t="n">
        <f aca="false">'VARIABLES MODELO'!$B$4+A27-1</f>
        <v>46308</v>
      </c>
      <c r="C27" s="0" t="str">
        <f aca="false">IF(A27&lt;=15,"Hiper-Precoz 23%","Precoz 19%")</f>
        <v>Precoz 19%</v>
      </c>
      <c r="D27" s="2" t="n">
        <f aca="false">+D26+E26</f>
        <v>57.45</v>
      </c>
      <c r="E27" s="2" t="n">
        <f aca="false">PRECOZ!C14</f>
        <v>0.3</v>
      </c>
      <c r="F27" s="69" t="n">
        <f aca="false">IF(A27&lt;=5,'VARIABLES MODELO'!$B$13,IF(A27&lt;=15,'VARIABLES MODELO'!$B$14,IF(A27&lt;=50,'VARIABLES MODELO'!$B$15,IF(A27&lt;=80,'VARIABLES MODELO'!$B$16,IF(A27&lt;=120,'VARIABLES MODELO'!$B$17,'VARIABLES MODELO'!$B$18)))))</f>
        <v>0.032</v>
      </c>
      <c r="G27" s="3" t="n">
        <f aca="false">D27*F27</f>
        <v>1.8384</v>
      </c>
      <c r="H27" s="70"/>
      <c r="I27" s="3" t="n">
        <f aca="false">IF(H27="",G27,H27)</f>
        <v>1.8384</v>
      </c>
      <c r="J27" s="71" t="n">
        <f aca="false">IF(A27&lt;=15,'VARIABLES MODELO'!$B$8,'VARIABLES MODELO'!$B$10)</f>
        <v>509.36</v>
      </c>
      <c r="K27" s="71" t="n">
        <f aca="false">I27*J27</f>
        <v>936.407424</v>
      </c>
      <c r="L27" s="71" t="n">
        <f aca="false">SUM($K$4:K27)</f>
        <v>28752.383726</v>
      </c>
      <c r="M27" s="2" t="n">
        <f aca="false">MROUND(I27*'VARIABLES MODELO'!$B$5,30)</f>
        <v>60</v>
      </c>
      <c r="N27" s="2" t="n">
        <f aca="false">IF(A27&lt;=15,MROUND(M27/'VARIABLES MODELO'!$B$11,0.5),MROUND(M27/'VARIABLES MODELO'!$B$12,0.5))</f>
        <v>2</v>
      </c>
      <c r="O27" s="2" t="n">
        <f aca="false">IF(A27&lt;=15,SUM($M$4:M27)/'VARIABLES MODELO'!$B$11,SUM($M$19:M27)/'VARIABLES MODELO'!$B$12)</f>
        <v>18</v>
      </c>
    </row>
    <row r="28" customFormat="false" ht="14.25" hidden="false" customHeight="false" outlineLevel="0" collapsed="false">
      <c r="A28" s="0" t="n">
        <v>25</v>
      </c>
      <c r="B28" s="68" t="n">
        <f aca="false">'VARIABLES MODELO'!$B$4+A28-1</f>
        <v>46309</v>
      </c>
      <c r="C28" s="0" t="str">
        <f aca="false">IF(A28&lt;=15,"Hiper-Precoz 23%","Precoz 19%")</f>
        <v>Precoz 19%</v>
      </c>
      <c r="D28" s="2" t="n">
        <f aca="false">+D27+E27</f>
        <v>57.75</v>
      </c>
      <c r="E28" s="2" t="n">
        <f aca="false">PRECOZ!C15</f>
        <v>0.3</v>
      </c>
      <c r="F28" s="69" t="n">
        <f aca="false">IF(A28&lt;=5,'VARIABLES MODELO'!$B$13,IF(A28&lt;=15,'VARIABLES MODELO'!$B$14,IF(A28&lt;=50,'VARIABLES MODELO'!$B$15,IF(A28&lt;=80,'VARIABLES MODELO'!$B$16,IF(A28&lt;=120,'VARIABLES MODELO'!$B$17,'VARIABLES MODELO'!$B$18)))))</f>
        <v>0.032</v>
      </c>
      <c r="G28" s="3" t="n">
        <f aca="false">D28*F28</f>
        <v>1.848</v>
      </c>
      <c r="H28" s="70"/>
      <c r="I28" s="3" t="n">
        <f aca="false">IF(H28="",G28,H28)</f>
        <v>1.848</v>
      </c>
      <c r="J28" s="71" t="n">
        <f aca="false">IF(A28&lt;=15,'VARIABLES MODELO'!$B$8,'VARIABLES MODELO'!$B$10)</f>
        <v>509.36</v>
      </c>
      <c r="K28" s="71" t="n">
        <f aca="false">I28*J28</f>
        <v>941.29728</v>
      </c>
      <c r="L28" s="71" t="n">
        <f aca="false">SUM($K$4:K28)</f>
        <v>29693.681006</v>
      </c>
      <c r="M28" s="2" t="n">
        <f aca="false">MROUND(I28*'VARIABLES MODELO'!$B$5,30)</f>
        <v>60</v>
      </c>
      <c r="N28" s="2" t="n">
        <f aca="false">IF(A28&lt;=15,MROUND(M28/'VARIABLES MODELO'!$B$11,0.5),MROUND(M28/'VARIABLES MODELO'!$B$12,0.5))</f>
        <v>2</v>
      </c>
      <c r="O28" s="2" t="n">
        <f aca="false">IF(A28&lt;=15,SUM($M$4:M28)/'VARIABLES MODELO'!$B$11,SUM($M$19:M28)/'VARIABLES MODELO'!$B$12)</f>
        <v>20</v>
      </c>
    </row>
    <row r="29" customFormat="false" ht="14.25" hidden="false" customHeight="false" outlineLevel="0" collapsed="false">
      <c r="A29" s="0" t="n">
        <v>26</v>
      </c>
      <c r="B29" s="68" t="n">
        <f aca="false">'VARIABLES MODELO'!$B$4+A29-1</f>
        <v>46310</v>
      </c>
      <c r="C29" s="0" t="str">
        <f aca="false">IF(A29&lt;=15,"Hiper-Precoz 23%","Precoz 19%")</f>
        <v>Precoz 19%</v>
      </c>
      <c r="D29" s="2" t="n">
        <f aca="false">+D28+E28</f>
        <v>58.05</v>
      </c>
      <c r="E29" s="2" t="n">
        <f aca="false">PRECOZ!C16</f>
        <v>0.4</v>
      </c>
      <c r="F29" s="69" t="n">
        <f aca="false">IF(A29&lt;=5,'VARIABLES MODELO'!$B$13,IF(A29&lt;=15,'VARIABLES MODELO'!$B$14,IF(A29&lt;=50,'VARIABLES MODELO'!$B$15,IF(A29&lt;=80,'VARIABLES MODELO'!$B$16,IF(A29&lt;=120,'VARIABLES MODELO'!$B$17,'VARIABLES MODELO'!$B$18)))))</f>
        <v>0.032</v>
      </c>
      <c r="G29" s="3" t="n">
        <f aca="false">D29*F29</f>
        <v>1.8576</v>
      </c>
      <c r="H29" s="70"/>
      <c r="I29" s="3" t="n">
        <f aca="false">IF(H29="",G29,H29)</f>
        <v>1.8576</v>
      </c>
      <c r="J29" s="71" t="n">
        <f aca="false">IF(A29&lt;=15,'VARIABLES MODELO'!$B$8,'VARIABLES MODELO'!$B$10)</f>
        <v>509.36</v>
      </c>
      <c r="K29" s="71" t="n">
        <f aca="false">I29*J29</f>
        <v>946.187136</v>
      </c>
      <c r="L29" s="71" t="n">
        <f aca="false">SUM($K$4:K29)</f>
        <v>30639.868142</v>
      </c>
      <c r="M29" s="2" t="n">
        <f aca="false">MROUND(I29*'VARIABLES MODELO'!$B$5,30)</f>
        <v>60</v>
      </c>
      <c r="N29" s="2" t="n">
        <f aca="false">IF(A29&lt;=15,MROUND(M29/'VARIABLES MODELO'!$B$11,0.5),MROUND(M29/'VARIABLES MODELO'!$B$12,0.5))</f>
        <v>2</v>
      </c>
      <c r="O29" s="2" t="n">
        <f aca="false">IF(A29&lt;=15,SUM($M$4:M29)/'VARIABLES MODELO'!$B$11,SUM($M$19:M29)/'VARIABLES MODELO'!$B$12)</f>
        <v>22</v>
      </c>
    </row>
    <row r="30" customFormat="false" ht="14.25" hidden="false" customHeight="false" outlineLevel="0" collapsed="false">
      <c r="A30" s="0" t="n">
        <v>27</v>
      </c>
      <c r="B30" s="68" t="n">
        <f aca="false">'VARIABLES MODELO'!$B$4+A30-1</f>
        <v>46311</v>
      </c>
      <c r="C30" s="0" t="str">
        <f aca="false">IF(A30&lt;=15,"Hiper-Precoz 23%","Precoz 19%")</f>
        <v>Precoz 19%</v>
      </c>
      <c r="D30" s="2" t="n">
        <f aca="false">+D29+E29</f>
        <v>58.45</v>
      </c>
      <c r="E30" s="2" t="n">
        <f aca="false">PRECOZ!C17</f>
        <v>0.4</v>
      </c>
      <c r="F30" s="69" t="n">
        <f aca="false">IF(A30&lt;=5,'VARIABLES MODELO'!$B$13,IF(A30&lt;=15,'VARIABLES MODELO'!$B$14,IF(A30&lt;=50,'VARIABLES MODELO'!$B$15,IF(A30&lt;=80,'VARIABLES MODELO'!$B$16,IF(A30&lt;=120,'VARIABLES MODELO'!$B$17,'VARIABLES MODELO'!$B$18)))))</f>
        <v>0.032</v>
      </c>
      <c r="G30" s="3" t="n">
        <f aca="false">D30*F30</f>
        <v>1.8704</v>
      </c>
      <c r="H30" s="70"/>
      <c r="I30" s="3" t="n">
        <f aca="false">IF(H30="",G30,H30)</f>
        <v>1.8704</v>
      </c>
      <c r="J30" s="71" t="n">
        <f aca="false">IF(A30&lt;=15,'VARIABLES MODELO'!$B$8,'VARIABLES MODELO'!$B$10)</f>
        <v>509.36</v>
      </c>
      <c r="K30" s="71" t="n">
        <f aca="false">I30*J30</f>
        <v>952.706944</v>
      </c>
      <c r="L30" s="71" t="n">
        <f aca="false">SUM($K$4:K30)</f>
        <v>31592.575086</v>
      </c>
      <c r="M30" s="2" t="n">
        <f aca="false">MROUND(I30*'VARIABLES MODELO'!$B$5,30)</f>
        <v>60</v>
      </c>
      <c r="N30" s="2" t="n">
        <f aca="false">IF(A30&lt;=15,MROUND(M30/'VARIABLES MODELO'!$B$11,0.5),MROUND(M30/'VARIABLES MODELO'!$B$12,0.5))</f>
        <v>2</v>
      </c>
      <c r="O30" s="2" t="n">
        <f aca="false">IF(A30&lt;=15,SUM($M$4:M30)/'VARIABLES MODELO'!$B$11,SUM($M$19:M30)/'VARIABLES MODELO'!$B$12)</f>
        <v>24</v>
      </c>
    </row>
    <row r="31" customFormat="false" ht="14.25" hidden="false" customHeight="false" outlineLevel="0" collapsed="false">
      <c r="A31" s="0" t="n">
        <v>28</v>
      </c>
      <c r="B31" s="68" t="n">
        <f aca="false">'VARIABLES MODELO'!$B$4+A31-1</f>
        <v>46312</v>
      </c>
      <c r="C31" s="0" t="str">
        <f aca="false">IF(A31&lt;=15,"Hiper-Precoz 23%","Precoz 19%")</f>
        <v>Precoz 19%</v>
      </c>
      <c r="D31" s="2" t="n">
        <f aca="false">+D30+E30</f>
        <v>58.85</v>
      </c>
      <c r="E31" s="2" t="n">
        <f aca="false">PRECOZ!C18</f>
        <v>0.4</v>
      </c>
      <c r="F31" s="69" t="n">
        <f aca="false">IF(A31&lt;=5,'VARIABLES MODELO'!$B$13,IF(A31&lt;=15,'VARIABLES MODELO'!$B$14,IF(A31&lt;=50,'VARIABLES MODELO'!$B$15,IF(A31&lt;=80,'VARIABLES MODELO'!$B$16,IF(A31&lt;=120,'VARIABLES MODELO'!$B$17,'VARIABLES MODELO'!$B$18)))))</f>
        <v>0.032</v>
      </c>
      <c r="G31" s="3" t="n">
        <f aca="false">D31*F31</f>
        <v>1.8832</v>
      </c>
      <c r="H31" s="70"/>
      <c r="I31" s="3" t="n">
        <f aca="false">IF(H31="",G31,H31)</f>
        <v>1.8832</v>
      </c>
      <c r="J31" s="71" t="n">
        <f aca="false">IF(A31&lt;=15,'VARIABLES MODELO'!$B$8,'VARIABLES MODELO'!$B$10)</f>
        <v>509.36</v>
      </c>
      <c r="K31" s="71" t="n">
        <f aca="false">I31*J31</f>
        <v>959.226752</v>
      </c>
      <c r="L31" s="71" t="n">
        <f aca="false">SUM($K$4:K31)</f>
        <v>32551.801838</v>
      </c>
      <c r="M31" s="2" t="n">
        <f aca="false">MROUND(I31*'VARIABLES MODELO'!$B$5,30)</f>
        <v>60</v>
      </c>
      <c r="N31" s="2" t="n">
        <f aca="false">IF(A31&lt;=15,MROUND(M31/'VARIABLES MODELO'!$B$11,0.5),MROUND(M31/'VARIABLES MODELO'!$B$12,0.5))</f>
        <v>2</v>
      </c>
      <c r="O31" s="2" t="n">
        <f aca="false">IF(A31&lt;=15,SUM($M$4:M31)/'VARIABLES MODELO'!$B$11,SUM($M$19:M31)/'VARIABLES MODELO'!$B$12)</f>
        <v>26</v>
      </c>
    </row>
    <row r="32" customFormat="false" ht="14.25" hidden="false" customHeight="false" outlineLevel="0" collapsed="false">
      <c r="A32" s="0" t="n">
        <v>29</v>
      </c>
      <c r="B32" s="68" t="n">
        <f aca="false">'VARIABLES MODELO'!$B$4+A32-1</f>
        <v>46313</v>
      </c>
      <c r="C32" s="0" t="str">
        <f aca="false">IF(A32&lt;=15,"Hiper-Precoz 23%","Precoz 19%")</f>
        <v>Precoz 19%</v>
      </c>
      <c r="D32" s="2" t="n">
        <f aca="false">+D31+E31</f>
        <v>59.25</v>
      </c>
      <c r="E32" s="2" t="n">
        <f aca="false">PRECOZ!C19</f>
        <v>0.4</v>
      </c>
      <c r="F32" s="69" t="n">
        <f aca="false">IF(A32&lt;=5,'VARIABLES MODELO'!$B$13,IF(A32&lt;=15,'VARIABLES MODELO'!$B$14,IF(A32&lt;=50,'VARIABLES MODELO'!$B$15,IF(A32&lt;=80,'VARIABLES MODELO'!$B$16,IF(A32&lt;=120,'VARIABLES MODELO'!$B$17,'VARIABLES MODELO'!$B$18)))))</f>
        <v>0.032</v>
      </c>
      <c r="G32" s="3" t="n">
        <f aca="false">D32*F32</f>
        <v>1.896</v>
      </c>
      <c r="H32" s="70"/>
      <c r="I32" s="3" t="n">
        <f aca="false">IF(H32="",G32,H32)</f>
        <v>1.896</v>
      </c>
      <c r="J32" s="71" t="n">
        <f aca="false">IF(A32&lt;=15,'VARIABLES MODELO'!$B$8,'VARIABLES MODELO'!$B$10)</f>
        <v>509.36</v>
      </c>
      <c r="K32" s="71" t="n">
        <f aca="false">I32*J32</f>
        <v>965.746559999999</v>
      </c>
      <c r="L32" s="71" t="n">
        <f aca="false">SUM($K$4:K32)</f>
        <v>33517.548398</v>
      </c>
      <c r="M32" s="2" t="n">
        <f aca="false">MROUND(I32*'VARIABLES MODELO'!$B$5,30)</f>
        <v>60</v>
      </c>
      <c r="N32" s="2" t="n">
        <f aca="false">IF(A32&lt;=15,MROUND(M32/'VARIABLES MODELO'!$B$11,0.5),MROUND(M32/'VARIABLES MODELO'!$B$12,0.5))</f>
        <v>2</v>
      </c>
      <c r="O32" s="2" t="n">
        <f aca="false">IF(A32&lt;=15,SUM($M$4:M32)/'VARIABLES MODELO'!$B$11,SUM($M$19:M32)/'VARIABLES MODELO'!$B$12)</f>
        <v>28</v>
      </c>
    </row>
    <row r="33" customFormat="false" ht="14.25" hidden="false" customHeight="false" outlineLevel="0" collapsed="false">
      <c r="A33" s="0" t="n">
        <v>30</v>
      </c>
      <c r="B33" s="68" t="n">
        <f aca="false">'VARIABLES MODELO'!$B$4+A33-1</f>
        <v>46314</v>
      </c>
      <c r="C33" s="0" t="str">
        <f aca="false">IF(A33&lt;=15,"Hiper-Precoz 23%","Precoz 19%")</f>
        <v>Precoz 19%</v>
      </c>
      <c r="D33" s="2" t="n">
        <f aca="false">+D32+E32</f>
        <v>59.65</v>
      </c>
      <c r="E33" s="2" t="n">
        <f aca="false">PRECOZ!C20</f>
        <v>0.4</v>
      </c>
      <c r="F33" s="69" t="n">
        <f aca="false">IF(A33&lt;=5,'VARIABLES MODELO'!$B$13,IF(A33&lt;=15,'VARIABLES MODELO'!$B$14,IF(A33&lt;=50,'VARIABLES MODELO'!$B$15,IF(A33&lt;=80,'VARIABLES MODELO'!$B$16,IF(A33&lt;=120,'VARIABLES MODELO'!$B$17,'VARIABLES MODELO'!$B$18)))))</f>
        <v>0.032</v>
      </c>
      <c r="G33" s="3" t="n">
        <f aca="false">D33*F33</f>
        <v>1.9088</v>
      </c>
      <c r="H33" s="70"/>
      <c r="I33" s="3" t="n">
        <f aca="false">IF(H33="",G33,H33)</f>
        <v>1.9088</v>
      </c>
      <c r="J33" s="71" t="n">
        <f aca="false">IF(A33&lt;=15,'VARIABLES MODELO'!$B$8,'VARIABLES MODELO'!$B$10)</f>
        <v>509.36</v>
      </c>
      <c r="K33" s="71" t="n">
        <f aca="false">I33*J33</f>
        <v>972.266368</v>
      </c>
      <c r="L33" s="71" t="n">
        <f aca="false">SUM($K$4:K33)</f>
        <v>34489.814766</v>
      </c>
      <c r="M33" s="2" t="n">
        <f aca="false">MROUND(I33*'VARIABLES MODELO'!$B$5,30)</f>
        <v>60</v>
      </c>
      <c r="N33" s="2" t="n">
        <f aca="false">IF(A33&lt;=15,MROUND(M33/'VARIABLES MODELO'!$B$11,0.5),MROUND(M33/'VARIABLES MODELO'!$B$12,0.5))</f>
        <v>2</v>
      </c>
      <c r="O33" s="2" t="n">
        <f aca="false">IF(A33&lt;=15,SUM($M$4:M33)/'VARIABLES MODELO'!$B$11,SUM($M$19:M33)/'VARIABLES MODELO'!$B$12)</f>
        <v>30</v>
      </c>
    </row>
    <row r="34" customFormat="false" ht="14.25" hidden="false" customHeight="false" outlineLevel="0" collapsed="false">
      <c r="A34" s="0" t="n">
        <v>31</v>
      </c>
      <c r="B34" s="68" t="n">
        <f aca="false">'VARIABLES MODELO'!$B$4+A34-1</f>
        <v>46315</v>
      </c>
      <c r="C34" s="0" t="str">
        <f aca="false">IF(A34&lt;=15,"Hiper-Precoz 23%","Precoz 19%")</f>
        <v>Precoz 19%</v>
      </c>
      <c r="D34" s="2" t="n">
        <f aca="false">+D33+E33</f>
        <v>60.05</v>
      </c>
      <c r="E34" s="2" t="n">
        <f aca="false">PRECOZ!C21</f>
        <v>0.4</v>
      </c>
      <c r="F34" s="69" t="n">
        <f aca="false">IF(A34&lt;=5,'VARIABLES MODELO'!$B$13,IF(A34&lt;=15,'VARIABLES MODELO'!$B$14,IF(A34&lt;=50,'VARIABLES MODELO'!$B$15,IF(A34&lt;=80,'VARIABLES MODELO'!$B$16,IF(A34&lt;=120,'VARIABLES MODELO'!$B$17,'VARIABLES MODELO'!$B$18)))))</f>
        <v>0.032</v>
      </c>
      <c r="G34" s="3" t="n">
        <f aca="false">D34*F34</f>
        <v>1.9216</v>
      </c>
      <c r="H34" s="70"/>
      <c r="I34" s="3" t="n">
        <f aca="false">IF(H34="",G34,H34)</f>
        <v>1.9216</v>
      </c>
      <c r="J34" s="71" t="n">
        <f aca="false">IF(A34&lt;=15,'VARIABLES MODELO'!$B$8,'VARIABLES MODELO'!$B$10)</f>
        <v>509.36</v>
      </c>
      <c r="K34" s="71" t="n">
        <f aca="false">I34*J34</f>
        <v>978.786176</v>
      </c>
      <c r="L34" s="71" t="n">
        <f aca="false">SUM($K$4:K34)</f>
        <v>35468.600942</v>
      </c>
      <c r="M34" s="2" t="n">
        <f aca="false">MROUND(I34*'VARIABLES MODELO'!$B$5,30)</f>
        <v>60</v>
      </c>
      <c r="N34" s="2" t="n">
        <f aca="false">IF(A34&lt;=15,MROUND(M34/'VARIABLES MODELO'!$B$11,0.5),MROUND(M34/'VARIABLES MODELO'!$B$12,0.5))</f>
        <v>2</v>
      </c>
      <c r="O34" s="2" t="n">
        <f aca="false">IF(A34&lt;=15,SUM($M$4:M34)/'VARIABLES MODELO'!$B$11,SUM($M$19:M34)/'VARIABLES MODELO'!$B$12)</f>
        <v>32</v>
      </c>
    </row>
    <row r="35" customFormat="false" ht="14.25" hidden="false" customHeight="false" outlineLevel="0" collapsed="false">
      <c r="A35" s="0" t="n">
        <v>32</v>
      </c>
      <c r="B35" s="68" t="n">
        <f aca="false">'VARIABLES MODELO'!$B$4+A35-1</f>
        <v>46316</v>
      </c>
      <c r="C35" s="0" t="str">
        <f aca="false">IF(A35&lt;=15,"Hiper-Precoz 23%","Precoz 19%")</f>
        <v>Precoz 19%</v>
      </c>
      <c r="D35" s="2" t="n">
        <f aca="false">+D34+E34</f>
        <v>60.45</v>
      </c>
      <c r="E35" s="2" t="n">
        <f aca="false">PRECOZ!C22</f>
        <v>0.4</v>
      </c>
      <c r="F35" s="69" t="n">
        <f aca="false">IF(A35&lt;=5,'VARIABLES MODELO'!$B$13,IF(A35&lt;=15,'VARIABLES MODELO'!$B$14,IF(A35&lt;=50,'VARIABLES MODELO'!$B$15,IF(A35&lt;=80,'VARIABLES MODELO'!$B$16,IF(A35&lt;=120,'VARIABLES MODELO'!$B$17,'VARIABLES MODELO'!$B$18)))))</f>
        <v>0.032</v>
      </c>
      <c r="G35" s="3" t="n">
        <f aca="false">D35*F35</f>
        <v>1.9344</v>
      </c>
      <c r="H35" s="70"/>
      <c r="I35" s="3" t="n">
        <f aca="false">IF(H35="",G35,H35)</f>
        <v>1.9344</v>
      </c>
      <c r="J35" s="71" t="n">
        <f aca="false">IF(A35&lt;=15,'VARIABLES MODELO'!$B$8,'VARIABLES MODELO'!$B$10)</f>
        <v>509.36</v>
      </c>
      <c r="K35" s="71" t="n">
        <f aca="false">I35*J35</f>
        <v>985.305983999999</v>
      </c>
      <c r="L35" s="71" t="n">
        <f aca="false">SUM($K$4:K35)</f>
        <v>36453.906926</v>
      </c>
      <c r="M35" s="2" t="n">
        <f aca="false">MROUND(I35*'VARIABLES MODELO'!$B$5,30)</f>
        <v>60</v>
      </c>
      <c r="N35" s="2" t="n">
        <f aca="false">IF(A35&lt;=15,MROUND(M35/'VARIABLES MODELO'!$B$11,0.5),MROUND(M35/'VARIABLES MODELO'!$B$12,0.5))</f>
        <v>2</v>
      </c>
      <c r="O35" s="2" t="n">
        <f aca="false">IF(A35&lt;=15,SUM($M$4:M35)/'VARIABLES MODELO'!$B$11,SUM($M$19:M35)/'VARIABLES MODELO'!$B$12)</f>
        <v>34</v>
      </c>
    </row>
    <row r="36" customFormat="false" ht="14.25" hidden="false" customHeight="false" outlineLevel="0" collapsed="false">
      <c r="A36" s="0" t="n">
        <v>33</v>
      </c>
      <c r="B36" s="68" t="n">
        <f aca="false">'VARIABLES MODELO'!$B$4+A36-1</f>
        <v>46317</v>
      </c>
      <c r="C36" s="0" t="str">
        <f aca="false">IF(A36&lt;=15,"Hiper-Precoz 23%","Precoz 19%")</f>
        <v>Precoz 19%</v>
      </c>
      <c r="D36" s="2" t="n">
        <f aca="false">+D35+E35</f>
        <v>60.85</v>
      </c>
      <c r="E36" s="2" t="n">
        <f aca="false">PRECOZ!C23</f>
        <v>0.4</v>
      </c>
      <c r="F36" s="69" t="n">
        <f aca="false">IF(A36&lt;=5,'VARIABLES MODELO'!$B$13,IF(A36&lt;=15,'VARIABLES MODELO'!$B$14,IF(A36&lt;=50,'VARIABLES MODELO'!$B$15,IF(A36&lt;=80,'VARIABLES MODELO'!$B$16,IF(A36&lt;=120,'VARIABLES MODELO'!$B$17,'VARIABLES MODELO'!$B$18)))))</f>
        <v>0.032</v>
      </c>
      <c r="G36" s="3" t="n">
        <f aca="false">D36*F36</f>
        <v>1.9472</v>
      </c>
      <c r="H36" s="70"/>
      <c r="I36" s="3" t="n">
        <f aca="false">IF(H36="",G36,H36)</f>
        <v>1.9472</v>
      </c>
      <c r="J36" s="71" t="n">
        <f aca="false">IF(A36&lt;=15,'VARIABLES MODELO'!$B$8,'VARIABLES MODELO'!$B$10)</f>
        <v>509.36</v>
      </c>
      <c r="K36" s="71" t="n">
        <f aca="false">I36*J36</f>
        <v>991.825792</v>
      </c>
      <c r="L36" s="71" t="n">
        <f aca="false">SUM($K$4:K36)</f>
        <v>37445.732718</v>
      </c>
      <c r="M36" s="2" t="n">
        <f aca="false">MROUND(I36*'VARIABLES MODELO'!$B$5,30)</f>
        <v>60</v>
      </c>
      <c r="N36" s="2" t="n">
        <f aca="false">IF(A36&lt;=15,MROUND(M36/'VARIABLES MODELO'!$B$11,0.5),MROUND(M36/'VARIABLES MODELO'!$B$12,0.5))</f>
        <v>2</v>
      </c>
      <c r="O36" s="2" t="n">
        <f aca="false">IF(A36&lt;=15,SUM($M$4:M36)/'VARIABLES MODELO'!$B$11,SUM($M$19:M36)/'VARIABLES MODELO'!$B$12)</f>
        <v>36</v>
      </c>
    </row>
    <row r="37" customFormat="false" ht="14.25" hidden="false" customHeight="false" outlineLevel="0" collapsed="false">
      <c r="A37" s="0" t="n">
        <v>34</v>
      </c>
      <c r="B37" s="68" t="n">
        <f aca="false">'VARIABLES MODELO'!$B$4+A37-1</f>
        <v>46318</v>
      </c>
      <c r="C37" s="0" t="str">
        <f aca="false">IF(A37&lt;=15,"Hiper-Precoz 23%","Precoz 19%")</f>
        <v>Precoz 19%</v>
      </c>
      <c r="D37" s="2" t="n">
        <f aca="false">+D36+E36</f>
        <v>61.25</v>
      </c>
      <c r="E37" s="2" t="n">
        <f aca="false">PRECOZ!C24</f>
        <v>0.4</v>
      </c>
      <c r="F37" s="69" t="n">
        <f aca="false">IF(A37&lt;=5,'VARIABLES MODELO'!$B$13,IF(A37&lt;=15,'VARIABLES MODELO'!$B$14,IF(A37&lt;=50,'VARIABLES MODELO'!$B$15,IF(A37&lt;=80,'VARIABLES MODELO'!$B$16,IF(A37&lt;=120,'VARIABLES MODELO'!$B$17,'VARIABLES MODELO'!$B$18)))))</f>
        <v>0.032</v>
      </c>
      <c r="G37" s="3" t="n">
        <f aca="false">D37*F37</f>
        <v>1.96</v>
      </c>
      <c r="H37" s="70"/>
      <c r="I37" s="3" t="n">
        <f aca="false">IF(H37="",G37,H37)</f>
        <v>1.96</v>
      </c>
      <c r="J37" s="71" t="n">
        <f aca="false">IF(A37&lt;=15,'VARIABLES MODELO'!$B$8,'VARIABLES MODELO'!$B$10)</f>
        <v>509.36</v>
      </c>
      <c r="K37" s="71" t="n">
        <f aca="false">I37*J37</f>
        <v>998.345599999999</v>
      </c>
      <c r="L37" s="71" t="n">
        <f aca="false">SUM($K$4:K37)</f>
        <v>38444.078318</v>
      </c>
      <c r="M37" s="2" t="n">
        <f aca="false">MROUND(I37*'VARIABLES MODELO'!$B$5,30)</f>
        <v>60</v>
      </c>
      <c r="N37" s="2" t="n">
        <f aca="false">IF(A37&lt;=15,MROUND(M37/'VARIABLES MODELO'!$B$11,0.5),MROUND(M37/'VARIABLES MODELO'!$B$12,0.5))</f>
        <v>2</v>
      </c>
      <c r="O37" s="2" t="n">
        <f aca="false">IF(A37&lt;=15,SUM($M$4:M37)/'VARIABLES MODELO'!$B$11,SUM($M$19:M37)/'VARIABLES MODELO'!$B$12)</f>
        <v>38</v>
      </c>
    </row>
    <row r="38" customFormat="false" ht="14.25" hidden="false" customHeight="false" outlineLevel="0" collapsed="false">
      <c r="A38" s="0" t="n">
        <v>35</v>
      </c>
      <c r="B38" s="68" t="n">
        <f aca="false">'VARIABLES MODELO'!$B$4+A38-1</f>
        <v>46319</v>
      </c>
      <c r="C38" s="0" t="str">
        <f aca="false">IF(A38&lt;=15,"Hiper-Precoz 23%","Precoz 19%")</f>
        <v>Precoz 19%</v>
      </c>
      <c r="D38" s="2" t="n">
        <f aca="false">+D37+E37</f>
        <v>61.65</v>
      </c>
      <c r="E38" s="2" t="n">
        <f aca="false">PRECOZ!C25</f>
        <v>0.4</v>
      </c>
      <c r="F38" s="69" t="n">
        <f aca="false">IF(A38&lt;=5,'VARIABLES MODELO'!$B$13,IF(A38&lt;=15,'VARIABLES MODELO'!$B$14,IF(A38&lt;=50,'VARIABLES MODELO'!$B$15,IF(A38&lt;=80,'VARIABLES MODELO'!$B$16,IF(A38&lt;=120,'VARIABLES MODELO'!$B$17,'VARIABLES MODELO'!$B$18)))))</f>
        <v>0.032</v>
      </c>
      <c r="G38" s="3" t="n">
        <f aca="false">D38*F38</f>
        <v>1.9728</v>
      </c>
      <c r="H38" s="70"/>
      <c r="I38" s="3" t="n">
        <f aca="false">IF(H38="",G38,H38)</f>
        <v>1.9728</v>
      </c>
      <c r="J38" s="71" t="n">
        <f aca="false">IF(A38&lt;=15,'VARIABLES MODELO'!$B$8,'VARIABLES MODELO'!$B$10)</f>
        <v>509.36</v>
      </c>
      <c r="K38" s="71" t="n">
        <f aca="false">I38*J38</f>
        <v>1004.865408</v>
      </c>
      <c r="L38" s="71" t="n">
        <f aca="false">SUM($K$4:K38)</f>
        <v>39448.943726</v>
      </c>
      <c r="M38" s="2" t="n">
        <f aca="false">MROUND(I38*'VARIABLES MODELO'!$B$5,30)</f>
        <v>60</v>
      </c>
      <c r="N38" s="2" t="n">
        <f aca="false">IF(A38&lt;=15,MROUND(M38/'VARIABLES MODELO'!$B$11,0.5),MROUND(M38/'VARIABLES MODELO'!$B$12,0.5))</f>
        <v>2</v>
      </c>
      <c r="O38" s="2" t="n">
        <f aca="false">IF(A38&lt;=15,SUM($M$4:M38)/'VARIABLES MODELO'!$B$11,SUM($M$19:M38)/'VARIABLES MODELO'!$B$12)</f>
        <v>40</v>
      </c>
    </row>
    <row r="39" customFormat="false" ht="14.25" hidden="false" customHeight="false" outlineLevel="0" collapsed="false">
      <c r="A39" s="0" t="n">
        <v>36</v>
      </c>
      <c r="B39" s="68" t="n">
        <f aca="false">'VARIABLES MODELO'!$B$4+A39-1</f>
        <v>46320</v>
      </c>
      <c r="C39" s="0" t="str">
        <f aca="false">IF(A39&lt;=15,"Hiper-Precoz 23%","Precoz 19%")</f>
        <v>Precoz 19%</v>
      </c>
      <c r="D39" s="2" t="n">
        <f aca="false">+D38+E38</f>
        <v>62.05</v>
      </c>
      <c r="E39" s="2" t="n">
        <f aca="false">PRECOZ!C26</f>
        <v>0.4</v>
      </c>
      <c r="F39" s="69" t="n">
        <f aca="false">IF(A39&lt;=5,'VARIABLES MODELO'!$B$13,IF(A39&lt;=15,'VARIABLES MODELO'!$B$14,IF(A39&lt;=50,'VARIABLES MODELO'!$B$15,IF(A39&lt;=80,'VARIABLES MODELO'!$B$16,IF(A39&lt;=120,'VARIABLES MODELO'!$B$17,'VARIABLES MODELO'!$B$18)))))</f>
        <v>0.032</v>
      </c>
      <c r="G39" s="3" t="n">
        <f aca="false">D39*F39</f>
        <v>1.9856</v>
      </c>
      <c r="H39" s="70"/>
      <c r="I39" s="3" t="n">
        <f aca="false">IF(H39="",G39,H39)</f>
        <v>1.9856</v>
      </c>
      <c r="J39" s="71" t="n">
        <f aca="false">IF(A39&lt;=15,'VARIABLES MODELO'!$B$8,'VARIABLES MODELO'!$B$10)</f>
        <v>509.36</v>
      </c>
      <c r="K39" s="71" t="n">
        <f aca="false">I39*J39</f>
        <v>1011.385216</v>
      </c>
      <c r="L39" s="71" t="n">
        <f aca="false">SUM($K$4:K39)</f>
        <v>40460.328942</v>
      </c>
      <c r="M39" s="2" t="n">
        <f aca="false">MROUND(I39*'VARIABLES MODELO'!$B$5,30)</f>
        <v>60</v>
      </c>
      <c r="N39" s="2" t="n">
        <f aca="false">IF(A39&lt;=15,MROUND(M39/'VARIABLES MODELO'!$B$11,0.5),MROUND(M39/'VARIABLES MODELO'!$B$12,0.5))</f>
        <v>2</v>
      </c>
      <c r="O39" s="2" t="n">
        <f aca="false">IF(A39&lt;=15,SUM($M$4:M39)/'VARIABLES MODELO'!$B$11,SUM($M$19:M39)/'VARIABLES MODELO'!$B$12)</f>
        <v>42</v>
      </c>
    </row>
    <row r="40" customFormat="false" ht="14.25" hidden="false" customHeight="false" outlineLevel="0" collapsed="false">
      <c r="A40" s="0" t="n">
        <v>37</v>
      </c>
      <c r="B40" s="68" t="n">
        <f aca="false">'VARIABLES MODELO'!$B$4+A40-1</f>
        <v>46321</v>
      </c>
      <c r="C40" s="0" t="str">
        <f aca="false">IF(A40&lt;=15,"Hiper-Precoz 23%","Precoz 19%")</f>
        <v>Precoz 19%</v>
      </c>
      <c r="D40" s="2" t="n">
        <f aca="false">+D39+E39</f>
        <v>62.45</v>
      </c>
      <c r="E40" s="2" t="n">
        <f aca="false">PRECOZ!C27</f>
        <v>0.4</v>
      </c>
      <c r="F40" s="69" t="n">
        <f aca="false">IF(A40&lt;=5,'VARIABLES MODELO'!$B$13,IF(A40&lt;=15,'VARIABLES MODELO'!$B$14,IF(A40&lt;=50,'VARIABLES MODELO'!$B$15,IF(A40&lt;=80,'VARIABLES MODELO'!$B$16,IF(A40&lt;=120,'VARIABLES MODELO'!$B$17,'VARIABLES MODELO'!$B$18)))))</f>
        <v>0.032</v>
      </c>
      <c r="G40" s="3" t="n">
        <f aca="false">D40*F40</f>
        <v>1.9984</v>
      </c>
      <c r="H40" s="70"/>
      <c r="I40" s="3" t="n">
        <f aca="false">IF(H40="",G40,H40)</f>
        <v>1.9984</v>
      </c>
      <c r="J40" s="71" t="n">
        <f aca="false">IF(A40&lt;=15,'VARIABLES MODELO'!$B$8,'VARIABLES MODELO'!$B$10)</f>
        <v>509.36</v>
      </c>
      <c r="K40" s="71" t="n">
        <f aca="false">I40*J40</f>
        <v>1017.905024</v>
      </c>
      <c r="L40" s="71" t="n">
        <f aca="false">SUM($K$4:K40)</f>
        <v>41478.233966</v>
      </c>
      <c r="M40" s="2" t="n">
        <f aca="false">MROUND(I40*'VARIABLES MODELO'!$B$5,30)</f>
        <v>60</v>
      </c>
      <c r="N40" s="2" t="n">
        <f aca="false">IF(A40&lt;=15,MROUND(M40/'VARIABLES MODELO'!$B$11,0.5),MROUND(M40/'VARIABLES MODELO'!$B$12,0.5))</f>
        <v>2</v>
      </c>
      <c r="O40" s="2" t="n">
        <f aca="false">IF(A40&lt;=15,SUM($M$4:M40)/'VARIABLES MODELO'!$B$11,SUM($M$19:M40)/'VARIABLES MODELO'!$B$12)</f>
        <v>44</v>
      </c>
    </row>
    <row r="41" customFormat="false" ht="14.25" hidden="false" customHeight="false" outlineLevel="0" collapsed="false">
      <c r="A41" s="0" t="n">
        <v>38</v>
      </c>
      <c r="B41" s="68" t="n">
        <f aca="false">'VARIABLES MODELO'!$B$4+A41-1</f>
        <v>46322</v>
      </c>
      <c r="C41" s="0" t="str">
        <f aca="false">IF(A41&lt;=15,"Hiper-Precoz 23%","Precoz 19%")</f>
        <v>Precoz 19%</v>
      </c>
      <c r="D41" s="2" t="n">
        <f aca="false">+D40+E40</f>
        <v>62.85</v>
      </c>
      <c r="E41" s="2" t="n">
        <f aca="false">PRECOZ!C28</f>
        <v>0.4</v>
      </c>
      <c r="F41" s="69" t="n">
        <f aca="false">IF(A41&lt;=5,'VARIABLES MODELO'!$B$13,IF(A41&lt;=15,'VARIABLES MODELO'!$B$14,IF(A41&lt;=50,'VARIABLES MODELO'!$B$15,IF(A41&lt;=80,'VARIABLES MODELO'!$B$16,IF(A41&lt;=120,'VARIABLES MODELO'!$B$17,'VARIABLES MODELO'!$B$18)))))</f>
        <v>0.032</v>
      </c>
      <c r="G41" s="3" t="n">
        <f aca="false">D41*F41</f>
        <v>2.0112</v>
      </c>
      <c r="H41" s="70"/>
      <c r="I41" s="3" t="n">
        <f aca="false">IF(H41="",G41,H41)</f>
        <v>2.0112</v>
      </c>
      <c r="J41" s="71" t="n">
        <f aca="false">IF(A41&lt;=15,'VARIABLES MODELO'!$B$8,'VARIABLES MODELO'!$B$10)</f>
        <v>509.36</v>
      </c>
      <c r="K41" s="71" t="n">
        <f aca="false">I41*J41</f>
        <v>1024.424832</v>
      </c>
      <c r="L41" s="71" t="n">
        <f aca="false">SUM($K$4:K41)</f>
        <v>42502.658798</v>
      </c>
      <c r="M41" s="2" t="n">
        <f aca="false">MROUND(I41*'VARIABLES MODELO'!$B$5,30)</f>
        <v>60</v>
      </c>
      <c r="N41" s="2" t="n">
        <f aca="false">IF(A41&lt;=15,MROUND(M41/'VARIABLES MODELO'!$B$11,0.5),MROUND(M41/'VARIABLES MODELO'!$B$12,0.5))</f>
        <v>2</v>
      </c>
      <c r="O41" s="2" t="n">
        <f aca="false">IF(A41&lt;=15,SUM($M$4:M41)/'VARIABLES MODELO'!$B$11,SUM($M$19:M41)/'VARIABLES MODELO'!$B$12)</f>
        <v>46</v>
      </c>
    </row>
    <row r="42" customFormat="false" ht="14.25" hidden="false" customHeight="false" outlineLevel="0" collapsed="false">
      <c r="A42" s="0" t="n">
        <v>39</v>
      </c>
      <c r="B42" s="68" t="n">
        <f aca="false">'VARIABLES MODELO'!$B$4+A42-1</f>
        <v>46323</v>
      </c>
      <c r="C42" s="0" t="str">
        <f aca="false">IF(A42&lt;=15,"Hiper-Precoz 23%","Precoz 19%")</f>
        <v>Precoz 19%</v>
      </c>
      <c r="D42" s="2" t="n">
        <f aca="false">+D41+E41</f>
        <v>63.25</v>
      </c>
      <c r="E42" s="2" t="n">
        <f aca="false">PRECOZ!C29</f>
        <v>0.4</v>
      </c>
      <c r="F42" s="69" t="n">
        <f aca="false">IF(A42&lt;=5,'VARIABLES MODELO'!$B$13,IF(A42&lt;=15,'VARIABLES MODELO'!$B$14,IF(A42&lt;=50,'VARIABLES MODELO'!$B$15,IF(A42&lt;=80,'VARIABLES MODELO'!$B$16,IF(A42&lt;=120,'VARIABLES MODELO'!$B$17,'VARIABLES MODELO'!$B$18)))))</f>
        <v>0.032</v>
      </c>
      <c r="G42" s="3" t="n">
        <f aca="false">D42*F42</f>
        <v>2.024</v>
      </c>
      <c r="H42" s="70"/>
      <c r="I42" s="3" t="n">
        <f aca="false">IF(H42="",G42,H42)</f>
        <v>2.024</v>
      </c>
      <c r="J42" s="71" t="n">
        <f aca="false">IF(A42&lt;=15,'VARIABLES MODELO'!$B$8,'VARIABLES MODELO'!$B$10)</f>
        <v>509.36</v>
      </c>
      <c r="K42" s="71" t="n">
        <f aca="false">I42*J42</f>
        <v>1030.94464</v>
      </c>
      <c r="L42" s="71" t="n">
        <f aca="false">SUM($K$4:K42)</f>
        <v>43533.603438</v>
      </c>
      <c r="M42" s="2" t="n">
        <f aca="false">MROUND(I42*'VARIABLES MODELO'!$B$5,30)</f>
        <v>60</v>
      </c>
      <c r="N42" s="2" t="n">
        <f aca="false">IF(A42&lt;=15,MROUND(M42/'VARIABLES MODELO'!$B$11,0.5),MROUND(M42/'VARIABLES MODELO'!$B$12,0.5))</f>
        <v>2</v>
      </c>
      <c r="O42" s="2" t="n">
        <f aca="false">IF(A42&lt;=15,SUM($M$4:M42)/'VARIABLES MODELO'!$B$11,SUM($M$19:M42)/'VARIABLES MODELO'!$B$12)</f>
        <v>48</v>
      </c>
    </row>
    <row r="43" customFormat="false" ht="14.25" hidden="false" customHeight="false" outlineLevel="0" collapsed="false">
      <c r="A43" s="0" t="n">
        <v>40</v>
      </c>
      <c r="B43" s="68" t="n">
        <f aca="false">'VARIABLES MODELO'!$B$4+A43-1</f>
        <v>46324</v>
      </c>
      <c r="C43" s="0" t="str">
        <f aca="false">IF(A43&lt;=15,"Hiper-Precoz 23%","Precoz 19%")</f>
        <v>Precoz 19%</v>
      </c>
      <c r="D43" s="2" t="n">
        <f aca="false">+D42+E42</f>
        <v>63.65</v>
      </c>
      <c r="E43" s="2" t="n">
        <f aca="false">PRECOZ!C30</f>
        <v>0.4</v>
      </c>
      <c r="F43" s="69" t="n">
        <f aca="false">IF(A43&lt;=5,'VARIABLES MODELO'!$B$13,IF(A43&lt;=15,'VARIABLES MODELO'!$B$14,IF(A43&lt;=50,'VARIABLES MODELO'!$B$15,IF(A43&lt;=80,'VARIABLES MODELO'!$B$16,IF(A43&lt;=120,'VARIABLES MODELO'!$B$17,'VARIABLES MODELO'!$B$18)))))</f>
        <v>0.032</v>
      </c>
      <c r="G43" s="3" t="n">
        <f aca="false">D43*F43</f>
        <v>2.0368</v>
      </c>
      <c r="H43" s="70"/>
      <c r="I43" s="3" t="n">
        <f aca="false">IF(H43="",G43,H43)</f>
        <v>2.0368</v>
      </c>
      <c r="J43" s="71" t="n">
        <f aca="false">IF(A43&lt;=15,'VARIABLES MODELO'!$B$8,'VARIABLES MODELO'!$B$10)</f>
        <v>509.36</v>
      </c>
      <c r="K43" s="71" t="n">
        <f aca="false">I43*J43</f>
        <v>1037.464448</v>
      </c>
      <c r="L43" s="71" t="n">
        <f aca="false">SUM($K$4:K43)</f>
        <v>44571.067886</v>
      </c>
      <c r="M43" s="2" t="n">
        <f aca="false">MROUND(I43*'VARIABLES MODELO'!$B$5,30)</f>
        <v>60</v>
      </c>
      <c r="N43" s="2" t="n">
        <f aca="false">IF(A43&lt;=15,MROUND(M43/'VARIABLES MODELO'!$B$11,0.5),MROUND(M43/'VARIABLES MODELO'!$B$12,0.5))</f>
        <v>2</v>
      </c>
      <c r="O43" s="2" t="n">
        <f aca="false">IF(A43&lt;=15,SUM($M$4:M43)/'VARIABLES MODELO'!$B$11,SUM($M$19:M43)/'VARIABLES MODELO'!$B$12)</f>
        <v>50</v>
      </c>
    </row>
    <row r="44" customFormat="false" ht="14.25" hidden="false" customHeight="false" outlineLevel="0" collapsed="false">
      <c r="A44" s="0" t="n">
        <v>41</v>
      </c>
      <c r="B44" s="68" t="n">
        <f aca="false">'VARIABLES MODELO'!$B$4+A44-1</f>
        <v>46325</v>
      </c>
      <c r="C44" s="0" t="str">
        <f aca="false">IF(A44&lt;=15,"Hiper-Precoz 23%","Precoz 19%")</f>
        <v>Precoz 19%</v>
      </c>
      <c r="D44" s="2" t="n">
        <f aca="false">+D43+E43</f>
        <v>64.05</v>
      </c>
      <c r="E44" s="2" t="n">
        <f aca="false">PRECOZ!C31</f>
        <v>0.45</v>
      </c>
      <c r="F44" s="69" t="n">
        <f aca="false">IF(A44&lt;=5,'VARIABLES MODELO'!$B$13,IF(A44&lt;=15,'VARIABLES MODELO'!$B$14,IF(A44&lt;=50,'VARIABLES MODELO'!$B$15,IF(A44&lt;=80,'VARIABLES MODELO'!$B$16,IF(A44&lt;=120,'VARIABLES MODELO'!$B$17,'VARIABLES MODELO'!$B$18)))))</f>
        <v>0.032</v>
      </c>
      <c r="G44" s="3" t="n">
        <f aca="false">D44*F44</f>
        <v>2.0496</v>
      </c>
      <c r="H44" s="70"/>
      <c r="I44" s="3" t="n">
        <f aca="false">IF(H44="",G44,H44)</f>
        <v>2.0496</v>
      </c>
      <c r="J44" s="71" t="n">
        <f aca="false">IF(A44&lt;=15,'VARIABLES MODELO'!$B$8,'VARIABLES MODELO'!$B$10)</f>
        <v>509.36</v>
      </c>
      <c r="K44" s="71" t="n">
        <f aca="false">I44*J44</f>
        <v>1043.984256</v>
      </c>
      <c r="L44" s="71" t="n">
        <f aca="false">SUM($K$4:K44)</f>
        <v>45615.052142</v>
      </c>
      <c r="M44" s="2" t="n">
        <f aca="false">MROUND(I44*'VARIABLES MODELO'!$B$5,30)</f>
        <v>60</v>
      </c>
      <c r="N44" s="2" t="n">
        <f aca="false">IF(A44&lt;=15,MROUND(M44/'VARIABLES MODELO'!$B$11,0.5),MROUND(M44/'VARIABLES MODELO'!$B$12,0.5))</f>
        <v>2</v>
      </c>
      <c r="O44" s="2" t="n">
        <f aca="false">IF(A44&lt;=15,SUM($M$4:M44)/'VARIABLES MODELO'!$B$11,SUM($M$19:M44)/'VARIABLES MODELO'!$B$12)</f>
        <v>52</v>
      </c>
    </row>
    <row r="45" customFormat="false" ht="14.25" hidden="false" customHeight="false" outlineLevel="0" collapsed="false">
      <c r="A45" s="0" t="n">
        <v>42</v>
      </c>
      <c r="B45" s="68" t="n">
        <f aca="false">'VARIABLES MODELO'!$B$4+A45-1</f>
        <v>46326</v>
      </c>
      <c r="C45" s="0" t="str">
        <f aca="false">IF(A45&lt;=15,"Hiper-Precoz 23%","Precoz 19%")</f>
        <v>Precoz 19%</v>
      </c>
      <c r="D45" s="2" t="n">
        <f aca="false">+D44+E44</f>
        <v>64.5</v>
      </c>
      <c r="E45" s="2" t="n">
        <f aca="false">PRECOZ!C32</f>
        <v>0.45</v>
      </c>
      <c r="F45" s="69" t="n">
        <f aca="false">IF(A45&lt;=5,'VARIABLES MODELO'!$B$13,IF(A45&lt;=15,'VARIABLES MODELO'!$B$14,IF(A45&lt;=50,'VARIABLES MODELO'!$B$15,IF(A45&lt;=80,'VARIABLES MODELO'!$B$16,IF(A45&lt;=120,'VARIABLES MODELO'!$B$17,'VARIABLES MODELO'!$B$18)))))</f>
        <v>0.032</v>
      </c>
      <c r="G45" s="3" t="n">
        <f aca="false">D45*F45</f>
        <v>2.064</v>
      </c>
      <c r="H45" s="70"/>
      <c r="I45" s="3" t="n">
        <f aca="false">IF(H45="",G45,H45)</f>
        <v>2.064</v>
      </c>
      <c r="J45" s="71" t="n">
        <f aca="false">IF(A45&lt;=15,'VARIABLES MODELO'!$B$8,'VARIABLES MODELO'!$B$10)</f>
        <v>509.36</v>
      </c>
      <c r="K45" s="71" t="n">
        <f aca="false">I45*J45</f>
        <v>1051.31904</v>
      </c>
      <c r="L45" s="71" t="n">
        <f aca="false">SUM($K$4:K45)</f>
        <v>46666.371182</v>
      </c>
      <c r="M45" s="2" t="n">
        <f aca="false">MROUND(I45*'VARIABLES MODELO'!$B$5,30)</f>
        <v>60</v>
      </c>
      <c r="N45" s="2" t="n">
        <f aca="false">IF(A45&lt;=15,MROUND(M45/'VARIABLES MODELO'!$B$11,0.5),MROUND(M45/'VARIABLES MODELO'!$B$12,0.5))</f>
        <v>2</v>
      </c>
      <c r="O45" s="2" t="n">
        <f aca="false">IF(A45&lt;=15,SUM($M$4:M45)/'VARIABLES MODELO'!$B$11,SUM($M$19:M45)/'VARIABLES MODELO'!$B$12)</f>
        <v>54</v>
      </c>
    </row>
    <row r="46" customFormat="false" ht="14.25" hidden="false" customHeight="false" outlineLevel="0" collapsed="false">
      <c r="A46" s="0" t="n">
        <v>43</v>
      </c>
      <c r="B46" s="68" t="n">
        <f aca="false">'VARIABLES MODELO'!$B$4+A46-1</f>
        <v>46327</v>
      </c>
      <c r="C46" s="0" t="str">
        <f aca="false">IF(A46&lt;=15,"Hiper-Precoz 23%","Precoz 19%")</f>
        <v>Precoz 19%</v>
      </c>
      <c r="D46" s="2" t="n">
        <f aca="false">+D45+E45</f>
        <v>64.95</v>
      </c>
      <c r="E46" s="2" t="n">
        <f aca="false">PRECOZ!C33</f>
        <v>0.45</v>
      </c>
      <c r="F46" s="69" t="n">
        <f aca="false">IF(A46&lt;=5,'VARIABLES MODELO'!$B$13,IF(A46&lt;=15,'VARIABLES MODELO'!$B$14,IF(A46&lt;=50,'VARIABLES MODELO'!$B$15,IF(A46&lt;=80,'VARIABLES MODELO'!$B$16,IF(A46&lt;=120,'VARIABLES MODELO'!$B$17,'VARIABLES MODELO'!$B$18)))))</f>
        <v>0.032</v>
      </c>
      <c r="G46" s="3" t="n">
        <f aca="false">D46*F46</f>
        <v>2.0784</v>
      </c>
      <c r="H46" s="70"/>
      <c r="I46" s="3" t="n">
        <f aca="false">IF(H46="",G46,H46)</f>
        <v>2.0784</v>
      </c>
      <c r="J46" s="71" t="n">
        <f aca="false">IF(A46&lt;=15,'VARIABLES MODELO'!$B$8,'VARIABLES MODELO'!$B$10)</f>
        <v>509.36</v>
      </c>
      <c r="K46" s="71" t="n">
        <f aca="false">I46*J46</f>
        <v>1058.653824</v>
      </c>
      <c r="L46" s="71" t="n">
        <f aca="false">SUM($K$4:K46)</f>
        <v>47725.025006</v>
      </c>
      <c r="M46" s="2" t="n">
        <f aca="false">MROUND(I46*'VARIABLES MODELO'!$B$5,30)</f>
        <v>60</v>
      </c>
      <c r="N46" s="2" t="n">
        <f aca="false">IF(A46&lt;=15,MROUND(M46/'VARIABLES MODELO'!$B$11,0.5),MROUND(M46/'VARIABLES MODELO'!$B$12,0.5))</f>
        <v>2</v>
      </c>
      <c r="O46" s="2" t="n">
        <f aca="false">IF(A46&lt;=15,SUM($M$4:M46)/'VARIABLES MODELO'!$B$11,SUM($M$19:M46)/'VARIABLES MODELO'!$B$12)</f>
        <v>56</v>
      </c>
    </row>
    <row r="47" customFormat="false" ht="14.25" hidden="false" customHeight="false" outlineLevel="0" collapsed="false">
      <c r="A47" s="0" t="n">
        <v>44</v>
      </c>
      <c r="B47" s="68" t="n">
        <f aca="false">'VARIABLES MODELO'!$B$4+A47-1</f>
        <v>46328</v>
      </c>
      <c r="C47" s="0" t="str">
        <f aca="false">IF(A47&lt;=15,"Hiper-Precoz 23%","Precoz 19%")</f>
        <v>Precoz 19%</v>
      </c>
      <c r="D47" s="2" t="n">
        <f aca="false">+D46+E46</f>
        <v>65.4</v>
      </c>
      <c r="E47" s="2" t="n">
        <f aca="false">PRECOZ!C34</f>
        <v>0.45</v>
      </c>
      <c r="F47" s="69" t="n">
        <f aca="false">IF(A47&lt;=5,'VARIABLES MODELO'!$B$13,IF(A47&lt;=15,'VARIABLES MODELO'!$B$14,IF(A47&lt;=50,'VARIABLES MODELO'!$B$15,IF(A47&lt;=80,'VARIABLES MODELO'!$B$16,IF(A47&lt;=120,'VARIABLES MODELO'!$B$17,'VARIABLES MODELO'!$B$18)))))</f>
        <v>0.032</v>
      </c>
      <c r="G47" s="3" t="n">
        <f aca="false">D47*F47</f>
        <v>2.0928</v>
      </c>
      <c r="H47" s="70"/>
      <c r="I47" s="3" t="n">
        <f aca="false">IF(H47="",G47,H47)</f>
        <v>2.0928</v>
      </c>
      <c r="J47" s="71" t="n">
        <f aca="false">IF(A47&lt;=15,'VARIABLES MODELO'!$B$8,'VARIABLES MODELO'!$B$10)</f>
        <v>509.36</v>
      </c>
      <c r="K47" s="71" t="n">
        <f aca="false">I47*J47</f>
        <v>1065.988608</v>
      </c>
      <c r="L47" s="71" t="n">
        <f aca="false">SUM($K$4:K47)</f>
        <v>48791.013614</v>
      </c>
      <c r="M47" s="2" t="n">
        <f aca="false">MROUND(I47*'VARIABLES MODELO'!$B$5,30)</f>
        <v>60</v>
      </c>
      <c r="N47" s="2" t="n">
        <f aca="false">IF(A47&lt;=15,MROUND(M47/'VARIABLES MODELO'!$B$11,0.5),MROUND(M47/'VARIABLES MODELO'!$B$12,0.5))</f>
        <v>2</v>
      </c>
      <c r="O47" s="2" t="n">
        <f aca="false">IF(A47&lt;=15,SUM($M$4:M47)/'VARIABLES MODELO'!$B$11,SUM($M$19:M47)/'VARIABLES MODELO'!$B$12)</f>
        <v>58</v>
      </c>
    </row>
    <row r="48" customFormat="false" ht="14.25" hidden="false" customHeight="false" outlineLevel="0" collapsed="false">
      <c r="A48" s="0" t="n">
        <v>45</v>
      </c>
      <c r="B48" s="68" t="n">
        <f aca="false">'VARIABLES MODELO'!$B$4+A48-1</f>
        <v>46329</v>
      </c>
      <c r="C48" s="0" t="str">
        <f aca="false">IF(A48&lt;=15,"Hiper-Precoz 23%","Precoz 19%")</f>
        <v>Precoz 19%</v>
      </c>
      <c r="D48" s="2" t="n">
        <f aca="false">+D47+E47</f>
        <v>65.85</v>
      </c>
      <c r="E48" s="2" t="n">
        <f aca="false">PRECOZ!C35</f>
        <v>0.45</v>
      </c>
      <c r="F48" s="69" t="n">
        <f aca="false">IF(A48&lt;=5,'VARIABLES MODELO'!$B$13,IF(A48&lt;=15,'VARIABLES MODELO'!$B$14,IF(A48&lt;=50,'VARIABLES MODELO'!$B$15,IF(A48&lt;=80,'VARIABLES MODELO'!$B$16,IF(A48&lt;=120,'VARIABLES MODELO'!$B$17,'VARIABLES MODELO'!$B$18)))))</f>
        <v>0.032</v>
      </c>
      <c r="G48" s="3" t="n">
        <f aca="false">D48*F48</f>
        <v>2.1072</v>
      </c>
      <c r="H48" s="70"/>
      <c r="I48" s="3" t="n">
        <f aca="false">IF(H48="",G48,H48)</f>
        <v>2.1072</v>
      </c>
      <c r="J48" s="71" t="n">
        <f aca="false">IF(A48&lt;=15,'VARIABLES MODELO'!$B$8,'VARIABLES MODELO'!$B$10)</f>
        <v>509.36</v>
      </c>
      <c r="K48" s="71" t="n">
        <f aca="false">I48*J48</f>
        <v>1073.323392</v>
      </c>
      <c r="L48" s="71" t="n">
        <f aca="false">SUM($K$4:K48)</f>
        <v>49864.337006</v>
      </c>
      <c r="M48" s="2" t="n">
        <f aca="false">MROUND(I48*'VARIABLES MODELO'!$B$5,30)</f>
        <v>60</v>
      </c>
      <c r="N48" s="2" t="n">
        <f aca="false">IF(A48&lt;=15,MROUND(M48/'VARIABLES MODELO'!$B$11,0.5),MROUND(M48/'VARIABLES MODELO'!$B$12,0.5))</f>
        <v>2</v>
      </c>
      <c r="O48" s="2" t="n">
        <f aca="false">IF(A48&lt;=15,SUM($M$4:M48)/'VARIABLES MODELO'!$B$11,SUM($M$19:M48)/'VARIABLES MODELO'!$B$12)</f>
        <v>60</v>
      </c>
    </row>
    <row r="49" customFormat="false" ht="14.25" hidden="false" customHeight="false" outlineLevel="0" collapsed="false">
      <c r="A49" s="0" t="n">
        <v>46</v>
      </c>
      <c r="B49" s="68" t="n">
        <f aca="false">'VARIABLES MODELO'!$B$4+A49-1</f>
        <v>46330</v>
      </c>
      <c r="C49" s="0" t="str">
        <f aca="false">IF(A49&lt;=15,"Hiper-Precoz 23%","Precoz 19%")</f>
        <v>Precoz 19%</v>
      </c>
      <c r="D49" s="2" t="n">
        <f aca="false">+D48+E48</f>
        <v>66.3</v>
      </c>
      <c r="E49" s="2" t="n">
        <f aca="false">PRECOZ!C36</f>
        <v>0.45</v>
      </c>
      <c r="F49" s="69" t="n">
        <f aca="false">IF(A49&lt;=5,'VARIABLES MODELO'!$B$13,IF(A49&lt;=15,'VARIABLES MODELO'!$B$14,IF(A49&lt;=50,'VARIABLES MODELO'!$B$15,IF(A49&lt;=80,'VARIABLES MODELO'!$B$16,IF(A49&lt;=120,'VARIABLES MODELO'!$B$17,'VARIABLES MODELO'!$B$18)))))</f>
        <v>0.032</v>
      </c>
      <c r="G49" s="3" t="n">
        <f aca="false">D49*F49</f>
        <v>2.1216</v>
      </c>
      <c r="H49" s="70"/>
      <c r="I49" s="3" t="n">
        <f aca="false">IF(H49="",G49,H49)</f>
        <v>2.1216</v>
      </c>
      <c r="J49" s="71" t="n">
        <f aca="false">IF(A49&lt;=15,'VARIABLES MODELO'!$B$8,'VARIABLES MODELO'!$B$10)</f>
        <v>509.36</v>
      </c>
      <c r="K49" s="71" t="n">
        <f aca="false">I49*J49</f>
        <v>1080.658176</v>
      </c>
      <c r="L49" s="71" t="n">
        <f aca="false">SUM($K$4:K49)</f>
        <v>50944.995182</v>
      </c>
      <c r="M49" s="2" t="n">
        <f aca="false">MROUND(I49*'VARIABLES MODELO'!$B$5,30)</f>
        <v>60</v>
      </c>
      <c r="N49" s="2" t="n">
        <f aca="false">IF(A49&lt;=15,MROUND(M49/'VARIABLES MODELO'!$B$11,0.5),MROUND(M49/'VARIABLES MODELO'!$B$12,0.5))</f>
        <v>2</v>
      </c>
      <c r="O49" s="2" t="n">
        <f aca="false">IF(A49&lt;=15,SUM($M$4:M49)/'VARIABLES MODELO'!$B$11,SUM($M$19:M49)/'VARIABLES MODELO'!$B$12)</f>
        <v>62</v>
      </c>
    </row>
    <row r="50" customFormat="false" ht="14.25" hidden="false" customHeight="false" outlineLevel="0" collapsed="false">
      <c r="A50" s="0" t="n">
        <v>47</v>
      </c>
      <c r="B50" s="68" t="n">
        <f aca="false">'VARIABLES MODELO'!$B$4+A50-1</f>
        <v>46331</v>
      </c>
      <c r="C50" s="0" t="str">
        <f aca="false">IF(A50&lt;=15,"Hiper-Precoz 23%","Precoz 19%")</f>
        <v>Precoz 19%</v>
      </c>
      <c r="D50" s="2" t="n">
        <f aca="false">+D49+E49</f>
        <v>66.75</v>
      </c>
      <c r="E50" s="2" t="n">
        <f aca="false">PRECOZ!C37</f>
        <v>0.45</v>
      </c>
      <c r="F50" s="69" t="n">
        <f aca="false">IF(A50&lt;=5,'VARIABLES MODELO'!$B$13,IF(A50&lt;=15,'VARIABLES MODELO'!$B$14,IF(A50&lt;=50,'VARIABLES MODELO'!$B$15,IF(A50&lt;=80,'VARIABLES MODELO'!$B$16,IF(A50&lt;=120,'VARIABLES MODELO'!$B$17,'VARIABLES MODELO'!$B$18)))))</f>
        <v>0.032</v>
      </c>
      <c r="G50" s="3" t="n">
        <f aca="false">D50*F50</f>
        <v>2.136</v>
      </c>
      <c r="H50" s="70"/>
      <c r="I50" s="3" t="n">
        <f aca="false">IF(H50="",G50,H50)</f>
        <v>2.136</v>
      </c>
      <c r="J50" s="71" t="n">
        <f aca="false">IF(A50&lt;=15,'VARIABLES MODELO'!$B$8,'VARIABLES MODELO'!$B$10)</f>
        <v>509.36</v>
      </c>
      <c r="K50" s="71" t="n">
        <f aca="false">I50*J50</f>
        <v>1087.99296</v>
      </c>
      <c r="L50" s="71" t="n">
        <f aca="false">SUM($K$4:K50)</f>
        <v>52032.988142</v>
      </c>
      <c r="M50" s="2" t="n">
        <f aca="false">MROUND(I50*'VARIABLES MODELO'!$B$5,30)</f>
        <v>60</v>
      </c>
      <c r="N50" s="2" t="n">
        <f aca="false">IF(A50&lt;=15,MROUND(M50/'VARIABLES MODELO'!$B$11,0.5),MROUND(M50/'VARIABLES MODELO'!$B$12,0.5))</f>
        <v>2</v>
      </c>
      <c r="O50" s="2" t="n">
        <f aca="false">IF(A50&lt;=15,SUM($M$4:M50)/'VARIABLES MODELO'!$B$11,SUM($M$19:M50)/'VARIABLES MODELO'!$B$12)</f>
        <v>64</v>
      </c>
    </row>
    <row r="51" customFormat="false" ht="14.25" hidden="false" customHeight="false" outlineLevel="0" collapsed="false">
      <c r="A51" s="0" t="n">
        <v>48</v>
      </c>
      <c r="B51" s="68" t="n">
        <f aca="false">'VARIABLES MODELO'!$B$4+A51-1</f>
        <v>46332</v>
      </c>
      <c r="C51" s="0" t="str">
        <f aca="false">IF(A51&lt;=15,"Hiper-Precoz 23%","Precoz 19%")</f>
        <v>Precoz 19%</v>
      </c>
      <c r="D51" s="2" t="n">
        <f aca="false">+D50+E50</f>
        <v>67.2</v>
      </c>
      <c r="E51" s="2" t="n">
        <f aca="false">PRECOZ!C38</f>
        <v>0.45</v>
      </c>
      <c r="F51" s="69" t="n">
        <f aca="false">IF(A51&lt;=5,'VARIABLES MODELO'!$B$13,IF(A51&lt;=15,'VARIABLES MODELO'!$B$14,IF(A51&lt;=50,'VARIABLES MODELO'!$B$15,IF(A51&lt;=80,'VARIABLES MODELO'!$B$16,IF(A51&lt;=120,'VARIABLES MODELO'!$B$17,'VARIABLES MODELO'!$B$18)))))</f>
        <v>0.032</v>
      </c>
      <c r="G51" s="3" t="n">
        <f aca="false">D51*F51</f>
        <v>2.1504</v>
      </c>
      <c r="H51" s="70"/>
      <c r="I51" s="3" t="n">
        <f aca="false">IF(H51="",G51,H51)</f>
        <v>2.1504</v>
      </c>
      <c r="J51" s="71" t="n">
        <f aca="false">IF(A51&lt;=15,'VARIABLES MODELO'!$B$8,'VARIABLES MODELO'!$B$10)</f>
        <v>509.36</v>
      </c>
      <c r="K51" s="71" t="n">
        <f aca="false">I51*J51</f>
        <v>1095.327744</v>
      </c>
      <c r="L51" s="71" t="n">
        <f aca="false">SUM($K$4:K51)</f>
        <v>53128.315886</v>
      </c>
      <c r="M51" s="2" t="n">
        <f aca="false">MROUND(I51*'VARIABLES MODELO'!$B$5,30)</f>
        <v>60</v>
      </c>
      <c r="N51" s="2" t="n">
        <f aca="false">IF(A51&lt;=15,MROUND(M51/'VARIABLES MODELO'!$B$11,0.5),MROUND(M51/'VARIABLES MODELO'!$B$12,0.5))</f>
        <v>2</v>
      </c>
      <c r="O51" s="2" t="n">
        <f aca="false">IF(A51&lt;=15,SUM($M$4:M51)/'VARIABLES MODELO'!$B$11,SUM($M$19:M51)/'VARIABLES MODELO'!$B$12)</f>
        <v>66</v>
      </c>
    </row>
    <row r="52" customFormat="false" ht="14.25" hidden="false" customHeight="false" outlineLevel="0" collapsed="false">
      <c r="A52" s="0" t="n">
        <v>49</v>
      </c>
      <c r="B52" s="68" t="n">
        <f aca="false">'VARIABLES MODELO'!$B$4+A52-1</f>
        <v>46333</v>
      </c>
      <c r="C52" s="0" t="str">
        <f aca="false">IF(A52&lt;=15,"Hiper-Precoz 23%","Precoz 19%")</f>
        <v>Precoz 19%</v>
      </c>
      <c r="D52" s="2" t="n">
        <f aca="false">+D51+E51</f>
        <v>67.65</v>
      </c>
      <c r="E52" s="2" t="n">
        <f aca="false">PRECOZ!C39</f>
        <v>0.45</v>
      </c>
      <c r="F52" s="69" t="n">
        <f aca="false">IF(A52&lt;=5,'VARIABLES MODELO'!$B$13,IF(A52&lt;=15,'VARIABLES MODELO'!$B$14,IF(A52&lt;=50,'VARIABLES MODELO'!$B$15,IF(A52&lt;=80,'VARIABLES MODELO'!$B$16,IF(A52&lt;=120,'VARIABLES MODELO'!$B$17,'VARIABLES MODELO'!$B$18)))))</f>
        <v>0.032</v>
      </c>
      <c r="G52" s="3" t="n">
        <f aca="false">D52*F52</f>
        <v>2.1648</v>
      </c>
      <c r="H52" s="70"/>
      <c r="I52" s="3" t="n">
        <f aca="false">IF(H52="",G52,H52)</f>
        <v>2.1648</v>
      </c>
      <c r="J52" s="71" t="n">
        <f aca="false">IF(A52&lt;=15,'VARIABLES MODELO'!$B$8,'VARIABLES MODELO'!$B$10)</f>
        <v>509.36</v>
      </c>
      <c r="K52" s="71" t="n">
        <f aca="false">I52*J52</f>
        <v>1102.662528</v>
      </c>
      <c r="L52" s="71" t="n">
        <f aca="false">SUM($K$4:K52)</f>
        <v>54230.978414</v>
      </c>
      <c r="M52" s="2" t="n">
        <f aca="false">MROUND(I52*'VARIABLES MODELO'!$B$5,30)</f>
        <v>60</v>
      </c>
      <c r="N52" s="2" t="n">
        <f aca="false">IF(A52&lt;=15,MROUND(M52/'VARIABLES MODELO'!$B$11,0.5),MROUND(M52/'VARIABLES MODELO'!$B$12,0.5))</f>
        <v>2</v>
      </c>
      <c r="O52" s="2" t="n">
        <f aca="false">IF(A52&lt;=15,SUM($M$4:M52)/'VARIABLES MODELO'!$B$11,SUM($M$19:M52)/'VARIABLES MODELO'!$B$12)</f>
        <v>68</v>
      </c>
    </row>
    <row r="53" customFormat="false" ht="14.25" hidden="false" customHeight="false" outlineLevel="0" collapsed="false">
      <c r="A53" s="0" t="n">
        <v>50</v>
      </c>
      <c r="B53" s="68" t="n">
        <f aca="false">'VARIABLES MODELO'!$B$4+A53-1</f>
        <v>46334</v>
      </c>
      <c r="C53" s="0" t="str">
        <f aca="false">IF(A53&lt;=15,"Hiper-Precoz 23%","Precoz 19%")</f>
        <v>Precoz 19%</v>
      </c>
      <c r="D53" s="2" t="n">
        <f aca="false">+D52+E52</f>
        <v>68.1</v>
      </c>
      <c r="E53" s="2" t="n">
        <f aca="false">PRECOZ!C40</f>
        <v>0.45</v>
      </c>
      <c r="F53" s="69" t="n">
        <f aca="false">IF(A53&lt;=5,'VARIABLES MODELO'!$B$13,IF(A53&lt;=15,'VARIABLES MODELO'!$B$14,IF(A53&lt;=50,'VARIABLES MODELO'!$B$15,IF(A53&lt;=80,'VARIABLES MODELO'!$B$16,IF(A53&lt;=120,'VARIABLES MODELO'!$B$17,'VARIABLES MODELO'!$B$18)))))</f>
        <v>0.032</v>
      </c>
      <c r="G53" s="3" t="n">
        <f aca="false">D53*F53</f>
        <v>2.1792</v>
      </c>
      <c r="H53" s="70"/>
      <c r="I53" s="3" t="n">
        <f aca="false">IF(H53="",G53,H53)</f>
        <v>2.1792</v>
      </c>
      <c r="J53" s="71" t="n">
        <f aca="false">IF(A53&lt;=15,'VARIABLES MODELO'!$B$8,'VARIABLES MODELO'!$B$10)</f>
        <v>509.36</v>
      </c>
      <c r="K53" s="71" t="n">
        <f aca="false">I53*J53</f>
        <v>1109.997312</v>
      </c>
      <c r="L53" s="71" t="n">
        <f aca="false">SUM($K$4:K53)</f>
        <v>55340.975726</v>
      </c>
      <c r="M53" s="2" t="n">
        <f aca="false">MROUND(I53*'VARIABLES MODELO'!$B$5,30)</f>
        <v>60</v>
      </c>
      <c r="N53" s="2" t="n">
        <f aca="false">IF(A53&lt;=15,MROUND(M53/'VARIABLES MODELO'!$B$11,0.5),MROUND(M53/'VARIABLES MODELO'!$B$12,0.5))</f>
        <v>2</v>
      </c>
      <c r="O53" s="2" t="n">
        <f aca="false">IF(A53&lt;=15,SUM($M$4:M53)/'VARIABLES MODELO'!$B$11,SUM($M$19:M53)/'VARIABLES MODELO'!$B$12)</f>
        <v>70</v>
      </c>
    </row>
    <row r="54" customFormat="false" ht="14.25" hidden="false" customHeight="false" outlineLevel="0" collapsed="false">
      <c r="A54" s="0" t="n">
        <v>51</v>
      </c>
      <c r="B54" s="68" t="n">
        <f aca="false">'VARIABLES MODELO'!$B$4+A54-1</f>
        <v>46335</v>
      </c>
      <c r="C54" s="0" t="str">
        <f aca="false">IF(A54&lt;=15,"Hiper-Precoz 23%","Precoz 19%")</f>
        <v>Precoz 19%</v>
      </c>
      <c r="D54" s="2" t="n">
        <f aca="false">+D53+E53</f>
        <v>68.55</v>
      </c>
      <c r="E54" s="2" t="n">
        <f aca="false">PRECOZ!C41</f>
        <v>0.45</v>
      </c>
      <c r="F54" s="69" t="n">
        <f aca="false">IF(A54&lt;=5,'VARIABLES MODELO'!$B$13,IF(A54&lt;=15,'VARIABLES MODELO'!$B$14,IF(A54&lt;=50,'VARIABLES MODELO'!$B$15,IF(A54&lt;=80,'VARIABLES MODELO'!$B$16,IF(A54&lt;=120,'VARIABLES MODELO'!$B$17,'VARIABLES MODELO'!$B$18)))))</f>
        <v>0.03</v>
      </c>
      <c r="G54" s="3" t="n">
        <f aca="false">D54*F54</f>
        <v>2.0565</v>
      </c>
      <c r="H54" s="70"/>
      <c r="I54" s="3" t="n">
        <f aca="false">IF(H54="",G54,H54)</f>
        <v>2.0565</v>
      </c>
      <c r="J54" s="71" t="n">
        <f aca="false">IF(A54&lt;=15,'VARIABLES MODELO'!$B$8,'VARIABLES MODELO'!$B$10)</f>
        <v>509.36</v>
      </c>
      <c r="K54" s="71" t="n">
        <f aca="false">I54*J54</f>
        <v>1047.49884</v>
      </c>
      <c r="L54" s="71" t="n">
        <f aca="false">SUM($K$4:K54)</f>
        <v>56388.474566</v>
      </c>
      <c r="M54" s="2" t="n">
        <f aca="false">MROUND(I54*'VARIABLES MODELO'!$B$5,30)</f>
        <v>60</v>
      </c>
      <c r="N54" s="2" t="n">
        <f aca="false">IF(A54&lt;=15,MROUND(M54/'VARIABLES MODELO'!$B$11,0.5),MROUND(M54/'VARIABLES MODELO'!$B$12,0.5))</f>
        <v>2</v>
      </c>
      <c r="O54" s="2" t="n">
        <f aca="false">IF(A54&lt;=15,SUM($M$4:M54)/'VARIABLES MODELO'!$B$11,SUM($M$19:M54)/'VARIABLES MODELO'!$B$12)</f>
        <v>72</v>
      </c>
    </row>
    <row r="55" customFormat="false" ht="14.25" hidden="false" customHeight="false" outlineLevel="0" collapsed="false">
      <c r="A55" s="0" t="n">
        <v>52</v>
      </c>
      <c r="B55" s="68" t="n">
        <f aca="false">'VARIABLES MODELO'!$B$4+A55-1</f>
        <v>46336</v>
      </c>
      <c r="C55" s="0" t="str">
        <f aca="false">IF(A55&lt;=15,"Hiper-Precoz 23%","Precoz 19%")</f>
        <v>Precoz 19%</v>
      </c>
      <c r="D55" s="2" t="n">
        <f aca="false">+D54+E54</f>
        <v>69</v>
      </c>
      <c r="E55" s="2" t="n">
        <f aca="false">PRECOZ!C42</f>
        <v>0.5</v>
      </c>
      <c r="F55" s="69" t="n">
        <f aca="false">IF(A55&lt;=5,'VARIABLES MODELO'!$B$13,IF(A55&lt;=15,'VARIABLES MODELO'!$B$14,IF(A55&lt;=50,'VARIABLES MODELO'!$B$15,IF(A55&lt;=80,'VARIABLES MODELO'!$B$16,IF(A55&lt;=120,'VARIABLES MODELO'!$B$17,'VARIABLES MODELO'!$B$18)))))</f>
        <v>0.03</v>
      </c>
      <c r="G55" s="3" t="n">
        <f aca="false">D55*F55</f>
        <v>2.07</v>
      </c>
      <c r="H55" s="70"/>
      <c r="I55" s="3" t="n">
        <f aca="false">IF(H55="",G55,H55)</f>
        <v>2.07</v>
      </c>
      <c r="J55" s="71" t="n">
        <f aca="false">IF(A55&lt;=15,'VARIABLES MODELO'!$B$8,'VARIABLES MODELO'!$B$10)</f>
        <v>509.36</v>
      </c>
      <c r="K55" s="71" t="n">
        <f aca="false">I55*J55</f>
        <v>1054.3752</v>
      </c>
      <c r="L55" s="71" t="n">
        <f aca="false">SUM($K$4:K55)</f>
        <v>57442.849766</v>
      </c>
      <c r="M55" s="2" t="n">
        <f aca="false">MROUND(I55*'VARIABLES MODELO'!$B$5,30)</f>
        <v>60</v>
      </c>
      <c r="N55" s="2" t="n">
        <f aca="false">IF(A55&lt;=15,MROUND(M55/'VARIABLES MODELO'!$B$11,0.5),MROUND(M55/'VARIABLES MODELO'!$B$12,0.5))</f>
        <v>2</v>
      </c>
      <c r="O55" s="2" t="n">
        <f aca="false">IF(A55&lt;=15,SUM($M$4:M55)/'VARIABLES MODELO'!$B$11,SUM($M$19:M55)/'VARIABLES MODELO'!$B$12)</f>
        <v>74</v>
      </c>
    </row>
    <row r="56" customFormat="false" ht="14.25" hidden="false" customHeight="false" outlineLevel="0" collapsed="false">
      <c r="A56" s="0" t="n">
        <v>53</v>
      </c>
      <c r="B56" s="68" t="n">
        <f aca="false">'VARIABLES MODELO'!$B$4+A56-1</f>
        <v>46337</v>
      </c>
      <c r="C56" s="0" t="str">
        <f aca="false">IF(A56&lt;=15,"Hiper-Precoz 23%","Precoz 19%")</f>
        <v>Precoz 19%</v>
      </c>
      <c r="D56" s="2" t="n">
        <f aca="false">+D55+E55</f>
        <v>69.5</v>
      </c>
      <c r="E56" s="2" t="n">
        <f aca="false">PRECOZ!C43</f>
        <v>0.5</v>
      </c>
      <c r="F56" s="69" t="n">
        <f aca="false">IF(A56&lt;=5,'VARIABLES MODELO'!$B$13,IF(A56&lt;=15,'VARIABLES MODELO'!$B$14,IF(A56&lt;=50,'VARIABLES MODELO'!$B$15,IF(A56&lt;=80,'VARIABLES MODELO'!$B$16,IF(A56&lt;=120,'VARIABLES MODELO'!$B$17,'VARIABLES MODELO'!$B$18)))))</f>
        <v>0.03</v>
      </c>
      <c r="G56" s="3" t="n">
        <f aca="false">D56*F56</f>
        <v>2.085</v>
      </c>
      <c r="H56" s="70"/>
      <c r="I56" s="3" t="n">
        <f aca="false">IF(H56="",G56,H56)</f>
        <v>2.085</v>
      </c>
      <c r="J56" s="71" t="n">
        <f aca="false">IF(A56&lt;=15,'VARIABLES MODELO'!$B$8,'VARIABLES MODELO'!$B$10)</f>
        <v>509.36</v>
      </c>
      <c r="K56" s="71" t="n">
        <f aca="false">I56*J56</f>
        <v>1062.0156</v>
      </c>
      <c r="L56" s="71" t="n">
        <f aca="false">SUM($K$4:K56)</f>
        <v>58504.865366</v>
      </c>
      <c r="M56" s="2" t="n">
        <f aca="false">MROUND(I56*'VARIABLES MODELO'!$B$5,30)</f>
        <v>60</v>
      </c>
      <c r="N56" s="2" t="n">
        <f aca="false">IF(A56&lt;=15,MROUND(M56/'VARIABLES MODELO'!$B$11,0.5),MROUND(M56/'VARIABLES MODELO'!$B$12,0.5))</f>
        <v>2</v>
      </c>
      <c r="O56" s="2" t="n">
        <f aca="false">IF(A56&lt;=15,SUM($M$4:M56)/'VARIABLES MODELO'!$B$11,SUM($M$19:M56)/'VARIABLES MODELO'!$B$12)</f>
        <v>76</v>
      </c>
    </row>
    <row r="57" customFormat="false" ht="14.25" hidden="false" customHeight="false" outlineLevel="0" collapsed="false">
      <c r="A57" s="0" t="n">
        <v>54</v>
      </c>
      <c r="B57" s="68" t="n">
        <f aca="false">'VARIABLES MODELO'!$B$4+A57-1</f>
        <v>46338</v>
      </c>
      <c r="C57" s="0" t="str">
        <f aca="false">IF(A57&lt;=15,"Hiper-Precoz 23%","Precoz 19%")</f>
        <v>Precoz 19%</v>
      </c>
      <c r="D57" s="2" t="n">
        <f aca="false">+D56+E56</f>
        <v>70</v>
      </c>
      <c r="E57" s="2" t="n">
        <f aca="false">PRECOZ!C44</f>
        <v>0.5</v>
      </c>
      <c r="F57" s="69" t="n">
        <f aca="false">IF(A57&lt;=5,'VARIABLES MODELO'!$B$13,IF(A57&lt;=15,'VARIABLES MODELO'!$B$14,IF(A57&lt;=50,'VARIABLES MODELO'!$B$15,IF(A57&lt;=80,'VARIABLES MODELO'!$B$16,IF(A57&lt;=120,'VARIABLES MODELO'!$B$17,'VARIABLES MODELO'!$B$18)))))</f>
        <v>0.03</v>
      </c>
      <c r="G57" s="3" t="n">
        <f aca="false">D57*F57</f>
        <v>2.1</v>
      </c>
      <c r="H57" s="70"/>
      <c r="I57" s="3" t="n">
        <f aca="false">IF(H57="",G57,H57)</f>
        <v>2.1</v>
      </c>
      <c r="J57" s="71" t="n">
        <f aca="false">IF(A57&lt;=15,'VARIABLES MODELO'!$B$8,'VARIABLES MODELO'!$B$10)</f>
        <v>509.36</v>
      </c>
      <c r="K57" s="71" t="n">
        <f aca="false">I57*J57</f>
        <v>1069.656</v>
      </c>
      <c r="L57" s="71" t="n">
        <f aca="false">SUM($K$4:K57)</f>
        <v>59574.521366</v>
      </c>
      <c r="M57" s="2" t="n">
        <f aca="false">MROUND(I57*'VARIABLES MODELO'!$B$5,30)</f>
        <v>60</v>
      </c>
      <c r="N57" s="2" t="n">
        <f aca="false">IF(A57&lt;=15,MROUND(M57/'VARIABLES MODELO'!$B$11,0.5),MROUND(M57/'VARIABLES MODELO'!$B$12,0.5))</f>
        <v>2</v>
      </c>
      <c r="O57" s="2" t="n">
        <f aca="false">IF(A57&lt;=15,SUM($M$4:M57)/'VARIABLES MODELO'!$B$11,SUM($M$19:M57)/'VARIABLES MODELO'!$B$12)</f>
        <v>78</v>
      </c>
    </row>
    <row r="58" customFormat="false" ht="14.25" hidden="false" customHeight="false" outlineLevel="0" collapsed="false">
      <c r="A58" s="0" t="n">
        <v>55</v>
      </c>
      <c r="B58" s="68" t="n">
        <f aca="false">'VARIABLES MODELO'!$B$4+A58-1</f>
        <v>46339</v>
      </c>
      <c r="C58" s="0" t="str">
        <f aca="false">IF(A58&lt;=15,"Hiper-Precoz 23%","Precoz 19%")</f>
        <v>Precoz 19%</v>
      </c>
      <c r="D58" s="2" t="n">
        <f aca="false">+D57+E57</f>
        <v>70.5</v>
      </c>
      <c r="E58" s="2" t="n">
        <f aca="false">PRECOZ!C45</f>
        <v>0.5</v>
      </c>
      <c r="F58" s="69" t="n">
        <f aca="false">IF(A58&lt;=5,'VARIABLES MODELO'!$B$13,IF(A58&lt;=15,'VARIABLES MODELO'!$B$14,IF(A58&lt;=50,'VARIABLES MODELO'!$B$15,IF(A58&lt;=80,'VARIABLES MODELO'!$B$16,IF(A58&lt;=120,'VARIABLES MODELO'!$B$17,'VARIABLES MODELO'!$B$18)))))</f>
        <v>0.03</v>
      </c>
      <c r="G58" s="3" t="n">
        <f aca="false">D58*F58</f>
        <v>2.115</v>
      </c>
      <c r="H58" s="70"/>
      <c r="I58" s="3" t="n">
        <f aca="false">IF(H58="",G58,H58)</f>
        <v>2.115</v>
      </c>
      <c r="J58" s="71" t="n">
        <f aca="false">IF(A58&lt;=15,'VARIABLES MODELO'!$B$8,'VARIABLES MODELO'!$B$10)</f>
        <v>509.36</v>
      </c>
      <c r="K58" s="71" t="n">
        <f aca="false">I58*J58</f>
        <v>1077.2964</v>
      </c>
      <c r="L58" s="71" t="n">
        <f aca="false">SUM($K$4:K58)</f>
        <v>60651.817766</v>
      </c>
      <c r="M58" s="2" t="n">
        <f aca="false">MROUND(I58*'VARIABLES MODELO'!$B$5,30)</f>
        <v>60</v>
      </c>
      <c r="N58" s="2" t="n">
        <f aca="false">IF(A58&lt;=15,MROUND(M58/'VARIABLES MODELO'!$B$11,0.5),MROUND(M58/'VARIABLES MODELO'!$B$12,0.5))</f>
        <v>2</v>
      </c>
      <c r="O58" s="2" t="n">
        <f aca="false">IF(A58&lt;=15,SUM($M$4:M58)/'VARIABLES MODELO'!$B$11,SUM($M$19:M58)/'VARIABLES MODELO'!$B$12)</f>
        <v>80</v>
      </c>
    </row>
    <row r="59" customFormat="false" ht="14.25" hidden="false" customHeight="false" outlineLevel="0" collapsed="false">
      <c r="A59" s="0" t="n">
        <v>56</v>
      </c>
      <c r="B59" s="68" t="n">
        <f aca="false">'VARIABLES MODELO'!$B$4+A59-1</f>
        <v>46340</v>
      </c>
      <c r="C59" s="0" t="str">
        <f aca="false">IF(A59&lt;=15,"Hiper-Precoz 23%","Precoz 19%")</f>
        <v>Precoz 19%</v>
      </c>
      <c r="D59" s="2" t="n">
        <f aca="false">+D58+E58</f>
        <v>71</v>
      </c>
      <c r="E59" s="2" t="n">
        <f aca="false">PRECOZ!C46</f>
        <v>0.5</v>
      </c>
      <c r="F59" s="69" t="n">
        <f aca="false">IF(A59&lt;=5,'VARIABLES MODELO'!$B$13,IF(A59&lt;=15,'VARIABLES MODELO'!$B$14,IF(A59&lt;=50,'VARIABLES MODELO'!$B$15,IF(A59&lt;=80,'VARIABLES MODELO'!$B$16,IF(A59&lt;=120,'VARIABLES MODELO'!$B$17,'VARIABLES MODELO'!$B$18)))))</f>
        <v>0.03</v>
      </c>
      <c r="G59" s="3" t="n">
        <f aca="false">D59*F59</f>
        <v>2.13</v>
      </c>
      <c r="H59" s="70"/>
      <c r="I59" s="3" t="n">
        <f aca="false">IF(H59="",G59,H59)</f>
        <v>2.13</v>
      </c>
      <c r="J59" s="71" t="n">
        <f aca="false">IF(A59&lt;=15,'VARIABLES MODELO'!$B$8,'VARIABLES MODELO'!$B$10)</f>
        <v>509.36</v>
      </c>
      <c r="K59" s="71" t="n">
        <f aca="false">I59*J59</f>
        <v>1084.9368</v>
      </c>
      <c r="L59" s="71" t="n">
        <f aca="false">SUM($K$4:K59)</f>
        <v>61736.754566</v>
      </c>
      <c r="M59" s="2" t="n">
        <f aca="false">MROUND(I59*'VARIABLES MODELO'!$B$5,30)</f>
        <v>60</v>
      </c>
      <c r="N59" s="2" t="n">
        <f aca="false">IF(A59&lt;=15,MROUND(M59/'VARIABLES MODELO'!$B$11,0.5),MROUND(M59/'VARIABLES MODELO'!$B$12,0.5))</f>
        <v>2</v>
      </c>
      <c r="O59" s="2" t="n">
        <f aca="false">IF(A59&lt;=15,SUM($M$4:M59)/'VARIABLES MODELO'!$B$11,SUM($M$19:M59)/'VARIABLES MODELO'!$B$12)</f>
        <v>82</v>
      </c>
    </row>
    <row r="60" customFormat="false" ht="14.25" hidden="false" customHeight="false" outlineLevel="0" collapsed="false">
      <c r="A60" s="0" t="n">
        <v>57</v>
      </c>
      <c r="B60" s="68" t="n">
        <f aca="false">'VARIABLES MODELO'!$B$4+A60-1</f>
        <v>46341</v>
      </c>
      <c r="C60" s="0" t="str">
        <f aca="false">IF(A60&lt;=15,"Hiper-Precoz 23%","Precoz 19%")</f>
        <v>Precoz 19%</v>
      </c>
      <c r="D60" s="2" t="n">
        <f aca="false">+D59+E59</f>
        <v>71.5</v>
      </c>
      <c r="E60" s="2" t="n">
        <f aca="false">PRECOZ!C47</f>
        <v>0.5</v>
      </c>
      <c r="F60" s="69" t="n">
        <f aca="false">IF(A60&lt;=5,'VARIABLES MODELO'!$B$13,IF(A60&lt;=15,'VARIABLES MODELO'!$B$14,IF(A60&lt;=50,'VARIABLES MODELO'!$B$15,IF(A60&lt;=80,'VARIABLES MODELO'!$B$16,IF(A60&lt;=120,'VARIABLES MODELO'!$B$17,'VARIABLES MODELO'!$B$18)))))</f>
        <v>0.03</v>
      </c>
      <c r="G60" s="3" t="n">
        <f aca="false">D60*F60</f>
        <v>2.145</v>
      </c>
      <c r="H60" s="70"/>
      <c r="I60" s="3" t="n">
        <f aca="false">IF(H60="",G60,H60)</f>
        <v>2.145</v>
      </c>
      <c r="J60" s="71" t="n">
        <f aca="false">IF(A60&lt;=15,'VARIABLES MODELO'!$B$8,'VARIABLES MODELO'!$B$10)</f>
        <v>509.36</v>
      </c>
      <c r="K60" s="71" t="n">
        <f aca="false">I60*J60</f>
        <v>1092.5772</v>
      </c>
      <c r="L60" s="71" t="n">
        <f aca="false">SUM($K$4:K60)</f>
        <v>62829.331766</v>
      </c>
      <c r="M60" s="2" t="n">
        <f aca="false">MROUND(I60*'VARIABLES MODELO'!$B$5,30)</f>
        <v>60</v>
      </c>
      <c r="N60" s="2" t="n">
        <f aca="false">IF(A60&lt;=15,MROUND(M60/'VARIABLES MODELO'!$B$11,0.5),MROUND(M60/'VARIABLES MODELO'!$B$12,0.5))</f>
        <v>2</v>
      </c>
      <c r="O60" s="2" t="n">
        <f aca="false">IF(A60&lt;=15,SUM($M$4:M60)/'VARIABLES MODELO'!$B$11,SUM($M$19:M60)/'VARIABLES MODELO'!$B$12)</f>
        <v>84</v>
      </c>
    </row>
    <row r="61" customFormat="false" ht="14.25" hidden="false" customHeight="false" outlineLevel="0" collapsed="false">
      <c r="A61" s="0" t="n">
        <v>58</v>
      </c>
      <c r="B61" s="68" t="n">
        <f aca="false">'VARIABLES MODELO'!$B$4+A61-1</f>
        <v>46342</v>
      </c>
      <c r="C61" s="0" t="str">
        <f aca="false">IF(A61&lt;=15,"Hiper-Precoz 23%","Precoz 19%")</f>
        <v>Precoz 19%</v>
      </c>
      <c r="D61" s="2" t="n">
        <f aca="false">+D60+E60</f>
        <v>72</v>
      </c>
      <c r="E61" s="2" t="n">
        <f aca="false">PRECOZ!C48</f>
        <v>0.5</v>
      </c>
      <c r="F61" s="69" t="n">
        <f aca="false">IF(A61&lt;=5,'VARIABLES MODELO'!$B$13,IF(A61&lt;=15,'VARIABLES MODELO'!$B$14,IF(A61&lt;=50,'VARIABLES MODELO'!$B$15,IF(A61&lt;=80,'VARIABLES MODELO'!$B$16,IF(A61&lt;=120,'VARIABLES MODELO'!$B$17,'VARIABLES MODELO'!$B$18)))))</f>
        <v>0.03</v>
      </c>
      <c r="G61" s="3" t="n">
        <f aca="false">D61*F61</f>
        <v>2.16</v>
      </c>
      <c r="H61" s="70"/>
      <c r="I61" s="3" t="n">
        <f aca="false">IF(H61="",G61,H61)</f>
        <v>2.16</v>
      </c>
      <c r="J61" s="71" t="n">
        <f aca="false">IF(A61&lt;=15,'VARIABLES MODELO'!$B$8,'VARIABLES MODELO'!$B$10)</f>
        <v>509.36</v>
      </c>
      <c r="K61" s="71" t="n">
        <f aca="false">I61*J61</f>
        <v>1100.2176</v>
      </c>
      <c r="L61" s="71" t="n">
        <f aca="false">SUM($K$4:K61)</f>
        <v>63929.549366</v>
      </c>
      <c r="M61" s="2" t="n">
        <f aca="false">MROUND(I61*'VARIABLES MODELO'!$B$5,30)</f>
        <v>60</v>
      </c>
      <c r="N61" s="2" t="n">
        <f aca="false">IF(A61&lt;=15,MROUND(M61/'VARIABLES MODELO'!$B$11,0.5),MROUND(M61/'VARIABLES MODELO'!$B$12,0.5))</f>
        <v>2</v>
      </c>
      <c r="O61" s="2" t="n">
        <f aca="false">IF(A61&lt;=15,SUM($M$4:M61)/'VARIABLES MODELO'!$B$11,SUM($M$19:M61)/'VARIABLES MODELO'!$B$12)</f>
        <v>86</v>
      </c>
    </row>
    <row r="62" customFormat="false" ht="14.25" hidden="false" customHeight="false" outlineLevel="0" collapsed="false">
      <c r="A62" s="0" t="n">
        <v>59</v>
      </c>
      <c r="B62" s="68" t="n">
        <f aca="false">'VARIABLES MODELO'!$B$4+A62-1</f>
        <v>46343</v>
      </c>
      <c r="C62" s="0" t="str">
        <f aca="false">IF(A62&lt;=15,"Hiper-Precoz 23%","Precoz 19%")</f>
        <v>Precoz 19%</v>
      </c>
      <c r="D62" s="2" t="n">
        <f aca="false">+D61+E61</f>
        <v>72.5</v>
      </c>
      <c r="E62" s="2" t="n">
        <f aca="false">PRECOZ!C49</f>
        <v>0.6</v>
      </c>
      <c r="F62" s="69" t="n">
        <f aca="false">IF(A62&lt;=5,'VARIABLES MODELO'!$B$13,IF(A62&lt;=15,'VARIABLES MODELO'!$B$14,IF(A62&lt;=50,'VARIABLES MODELO'!$B$15,IF(A62&lt;=80,'VARIABLES MODELO'!$B$16,IF(A62&lt;=120,'VARIABLES MODELO'!$B$17,'VARIABLES MODELO'!$B$18)))))</f>
        <v>0.03</v>
      </c>
      <c r="G62" s="3" t="n">
        <f aca="false">D62*F62</f>
        <v>2.175</v>
      </c>
      <c r="H62" s="70"/>
      <c r="I62" s="3" t="n">
        <f aca="false">IF(H62="",G62,H62)</f>
        <v>2.175</v>
      </c>
      <c r="J62" s="71" t="n">
        <f aca="false">IF(A62&lt;=15,'VARIABLES MODELO'!$B$8,'VARIABLES MODELO'!$B$10)</f>
        <v>509.36</v>
      </c>
      <c r="K62" s="71" t="n">
        <f aca="false">I62*J62</f>
        <v>1107.858</v>
      </c>
      <c r="L62" s="71" t="n">
        <f aca="false">SUM($K$4:K62)</f>
        <v>65037.407366</v>
      </c>
      <c r="M62" s="2" t="n">
        <f aca="false">MROUND(I62*'VARIABLES MODELO'!$B$5,30)</f>
        <v>60</v>
      </c>
      <c r="N62" s="2" t="n">
        <f aca="false">IF(A62&lt;=15,MROUND(M62/'VARIABLES MODELO'!$B$11,0.5),MROUND(M62/'VARIABLES MODELO'!$B$12,0.5))</f>
        <v>2</v>
      </c>
      <c r="O62" s="2" t="n">
        <f aca="false">IF(A62&lt;=15,SUM($M$4:M62)/'VARIABLES MODELO'!$B$11,SUM($M$19:M62)/'VARIABLES MODELO'!$B$12)</f>
        <v>88</v>
      </c>
    </row>
    <row r="63" customFormat="false" ht="14.25" hidden="false" customHeight="false" outlineLevel="0" collapsed="false">
      <c r="A63" s="0" t="n">
        <v>60</v>
      </c>
      <c r="B63" s="68" t="n">
        <f aca="false">'VARIABLES MODELO'!$B$4+A63-1</f>
        <v>46344</v>
      </c>
      <c r="C63" s="0" t="str">
        <f aca="false">IF(A63&lt;=15,"Hiper-Precoz 23%","Precoz 19%")</f>
        <v>Precoz 19%</v>
      </c>
      <c r="D63" s="2" t="n">
        <f aca="false">+D62+E62</f>
        <v>73.1</v>
      </c>
      <c r="E63" s="2" t="n">
        <f aca="false">PRECOZ!C50</f>
        <v>0.6</v>
      </c>
      <c r="F63" s="69" t="n">
        <f aca="false">IF(A63&lt;=5,'VARIABLES MODELO'!$B$13,IF(A63&lt;=15,'VARIABLES MODELO'!$B$14,IF(A63&lt;=50,'VARIABLES MODELO'!$B$15,IF(A63&lt;=80,'VARIABLES MODELO'!$B$16,IF(A63&lt;=120,'VARIABLES MODELO'!$B$17,'VARIABLES MODELO'!$B$18)))))</f>
        <v>0.03</v>
      </c>
      <c r="G63" s="3" t="n">
        <f aca="false">D63*F63</f>
        <v>2.193</v>
      </c>
      <c r="H63" s="70"/>
      <c r="I63" s="3" t="n">
        <f aca="false">IF(H63="",G63,H63)</f>
        <v>2.193</v>
      </c>
      <c r="J63" s="71" t="n">
        <f aca="false">IF(A63&lt;=15,'VARIABLES MODELO'!$B$8,'VARIABLES MODELO'!$B$10)</f>
        <v>509.36</v>
      </c>
      <c r="K63" s="71" t="n">
        <f aca="false">I63*J63</f>
        <v>1117.02648</v>
      </c>
      <c r="L63" s="71" t="n">
        <f aca="false">SUM($K$4:K63)</f>
        <v>66154.433846</v>
      </c>
      <c r="M63" s="2" t="n">
        <f aca="false">MROUND(I63*'VARIABLES MODELO'!$B$5,30)</f>
        <v>60</v>
      </c>
      <c r="N63" s="2" t="n">
        <f aca="false">IF(A63&lt;=15,MROUND(M63/'VARIABLES MODELO'!$B$11,0.5),MROUND(M63/'VARIABLES MODELO'!$B$12,0.5))</f>
        <v>2</v>
      </c>
      <c r="O63" s="2" t="n">
        <f aca="false">IF(A63&lt;=15,SUM($M$4:M63)/'VARIABLES MODELO'!$B$11,SUM($M$19:M63)/'VARIABLES MODELO'!$B$12)</f>
        <v>90</v>
      </c>
    </row>
    <row r="64" customFormat="false" ht="14.25" hidden="false" customHeight="false" outlineLevel="0" collapsed="false">
      <c r="A64" s="0" t="n">
        <v>61</v>
      </c>
      <c r="B64" s="68" t="n">
        <f aca="false">'VARIABLES MODELO'!$B$4+A64-1</f>
        <v>46345</v>
      </c>
      <c r="C64" s="0" t="str">
        <f aca="false">IF(A64&lt;=15,"Hiper-Precoz 23%","Precoz 19%")</f>
        <v>Precoz 19%</v>
      </c>
      <c r="D64" s="2" t="n">
        <f aca="false">+D63+E63</f>
        <v>73.7</v>
      </c>
      <c r="E64" s="2" t="n">
        <f aca="false">PRECOZ!C51</f>
        <v>0.6</v>
      </c>
      <c r="F64" s="69" t="n">
        <f aca="false">IF(A64&lt;=5,'VARIABLES MODELO'!$B$13,IF(A64&lt;=15,'VARIABLES MODELO'!$B$14,IF(A64&lt;=50,'VARIABLES MODELO'!$B$15,IF(A64&lt;=80,'VARIABLES MODELO'!$B$16,IF(A64&lt;=120,'VARIABLES MODELO'!$B$17,'VARIABLES MODELO'!$B$18)))))</f>
        <v>0.03</v>
      </c>
      <c r="G64" s="3" t="n">
        <f aca="false">D64*F64</f>
        <v>2.211</v>
      </c>
      <c r="H64" s="70"/>
      <c r="I64" s="3" t="n">
        <f aca="false">IF(H64="",G64,H64)</f>
        <v>2.211</v>
      </c>
      <c r="J64" s="71" t="n">
        <f aca="false">IF(A64&lt;=15,'VARIABLES MODELO'!$B$8,'VARIABLES MODELO'!$B$10)</f>
        <v>509.36</v>
      </c>
      <c r="K64" s="71" t="n">
        <f aca="false">I64*J64</f>
        <v>1126.19496</v>
      </c>
      <c r="L64" s="71" t="n">
        <f aca="false">SUM($K$4:K64)</f>
        <v>67280.628806</v>
      </c>
      <c r="M64" s="2" t="n">
        <f aca="false">MROUND(I64*'VARIABLES MODELO'!$B$5,30)</f>
        <v>60</v>
      </c>
      <c r="N64" s="2" t="n">
        <f aca="false">IF(A64&lt;=15,MROUND(M64/'VARIABLES MODELO'!$B$11,0.5),MROUND(M64/'VARIABLES MODELO'!$B$12,0.5))</f>
        <v>2</v>
      </c>
      <c r="O64" s="2" t="n">
        <f aca="false">IF(A64&lt;=15,SUM($M$4:M64)/'VARIABLES MODELO'!$B$11,SUM($M$19:M64)/'VARIABLES MODELO'!$B$12)</f>
        <v>92</v>
      </c>
    </row>
    <row r="65" customFormat="false" ht="14.25" hidden="false" customHeight="false" outlineLevel="0" collapsed="false">
      <c r="A65" s="0" t="n">
        <v>62</v>
      </c>
      <c r="B65" s="68" t="n">
        <f aca="false">'VARIABLES MODELO'!$B$4+A65-1</f>
        <v>46346</v>
      </c>
      <c r="C65" s="0" t="str">
        <f aca="false">IF(A65&lt;=15,"Hiper-Precoz 23%","Precoz 19%")</f>
        <v>Precoz 19%</v>
      </c>
      <c r="D65" s="2" t="n">
        <f aca="false">+D64+E64</f>
        <v>74.3</v>
      </c>
      <c r="E65" s="2" t="n">
        <f aca="false">PRECOZ!C52</f>
        <v>0.6</v>
      </c>
      <c r="F65" s="69" t="n">
        <f aca="false">IF(A65&lt;=5,'VARIABLES MODELO'!$B$13,IF(A65&lt;=15,'VARIABLES MODELO'!$B$14,IF(A65&lt;=50,'VARIABLES MODELO'!$B$15,IF(A65&lt;=80,'VARIABLES MODELO'!$B$16,IF(A65&lt;=120,'VARIABLES MODELO'!$B$17,'VARIABLES MODELO'!$B$18)))))</f>
        <v>0.03</v>
      </c>
      <c r="G65" s="3" t="n">
        <f aca="false">D65*F65</f>
        <v>2.229</v>
      </c>
      <c r="H65" s="70"/>
      <c r="I65" s="3" t="n">
        <f aca="false">IF(H65="",G65,H65)</f>
        <v>2.229</v>
      </c>
      <c r="J65" s="71" t="n">
        <f aca="false">IF(A65&lt;=15,'VARIABLES MODELO'!$B$8,'VARIABLES MODELO'!$B$10)</f>
        <v>509.36</v>
      </c>
      <c r="K65" s="71" t="n">
        <f aca="false">I65*J65</f>
        <v>1135.36344</v>
      </c>
      <c r="L65" s="71" t="n">
        <f aca="false">SUM($K$4:K65)</f>
        <v>68415.992246</v>
      </c>
      <c r="M65" s="2" t="n">
        <f aca="false">MROUND(I65*'VARIABLES MODELO'!$B$5,30)</f>
        <v>60</v>
      </c>
      <c r="N65" s="2" t="n">
        <f aca="false">IF(A65&lt;=15,MROUND(M65/'VARIABLES MODELO'!$B$11,0.5),MROUND(M65/'VARIABLES MODELO'!$B$12,0.5))</f>
        <v>2</v>
      </c>
      <c r="O65" s="2" t="n">
        <f aca="false">IF(A65&lt;=15,SUM($M$4:M65)/'VARIABLES MODELO'!$B$11,SUM($M$19:M65)/'VARIABLES MODELO'!$B$12)</f>
        <v>94</v>
      </c>
    </row>
    <row r="66" customFormat="false" ht="14.25" hidden="false" customHeight="false" outlineLevel="0" collapsed="false">
      <c r="A66" s="0" t="n">
        <v>63</v>
      </c>
      <c r="B66" s="68" t="n">
        <f aca="false">'VARIABLES MODELO'!$B$4+A66-1</f>
        <v>46347</v>
      </c>
      <c r="C66" s="0" t="str">
        <f aca="false">IF(A66&lt;=15,"Hiper-Precoz 23%","Precoz 19%")</f>
        <v>Precoz 19%</v>
      </c>
      <c r="D66" s="2" t="n">
        <f aca="false">+D65+E65</f>
        <v>74.9</v>
      </c>
      <c r="E66" s="2" t="n">
        <f aca="false">PRECOZ!C53</f>
        <v>0.6</v>
      </c>
      <c r="F66" s="69" t="n">
        <f aca="false">IF(A66&lt;=5,'VARIABLES MODELO'!$B$13,IF(A66&lt;=15,'VARIABLES MODELO'!$B$14,IF(A66&lt;=50,'VARIABLES MODELO'!$B$15,IF(A66&lt;=80,'VARIABLES MODELO'!$B$16,IF(A66&lt;=120,'VARIABLES MODELO'!$B$17,'VARIABLES MODELO'!$B$18)))))</f>
        <v>0.03</v>
      </c>
      <c r="G66" s="3" t="n">
        <f aca="false">D66*F66</f>
        <v>2.247</v>
      </c>
      <c r="H66" s="70"/>
      <c r="I66" s="3" t="n">
        <f aca="false">IF(H66="",G66,H66)</f>
        <v>2.247</v>
      </c>
      <c r="J66" s="71" t="n">
        <f aca="false">IF(A66&lt;=15,'VARIABLES MODELO'!$B$8,'VARIABLES MODELO'!$B$10)</f>
        <v>509.36</v>
      </c>
      <c r="K66" s="71" t="n">
        <f aca="false">I66*J66</f>
        <v>1144.53192</v>
      </c>
      <c r="L66" s="71" t="n">
        <f aca="false">SUM($K$4:K66)</f>
        <v>69560.524166</v>
      </c>
      <c r="M66" s="2" t="n">
        <f aca="false">MROUND(I66*'VARIABLES MODELO'!$B$5,30)</f>
        <v>60</v>
      </c>
      <c r="N66" s="2" t="n">
        <f aca="false">IF(A66&lt;=15,MROUND(M66/'VARIABLES MODELO'!$B$11,0.5),MROUND(M66/'VARIABLES MODELO'!$B$12,0.5))</f>
        <v>2</v>
      </c>
      <c r="O66" s="2" t="n">
        <f aca="false">IF(A66&lt;=15,SUM($M$4:M66)/'VARIABLES MODELO'!$B$11,SUM($M$19:M66)/'VARIABLES MODELO'!$B$12)</f>
        <v>96</v>
      </c>
    </row>
    <row r="67" customFormat="false" ht="14.25" hidden="false" customHeight="false" outlineLevel="0" collapsed="false">
      <c r="A67" s="0" t="n">
        <v>64</v>
      </c>
      <c r="B67" s="68" t="n">
        <f aca="false">'VARIABLES MODELO'!$B$4+A67-1</f>
        <v>46348</v>
      </c>
      <c r="C67" s="0" t="str">
        <f aca="false">IF(A67&lt;=15,"Hiper-Precoz 23%","Precoz 19%")</f>
        <v>Precoz 19%</v>
      </c>
      <c r="D67" s="2" t="n">
        <f aca="false">+D66+E66</f>
        <v>75.5</v>
      </c>
      <c r="E67" s="2" t="n">
        <f aca="false">PRECOZ!C54</f>
        <v>0.6</v>
      </c>
      <c r="F67" s="69" t="n">
        <f aca="false">IF(A67&lt;=5,'VARIABLES MODELO'!$B$13,IF(A67&lt;=15,'VARIABLES MODELO'!$B$14,IF(A67&lt;=50,'VARIABLES MODELO'!$B$15,IF(A67&lt;=80,'VARIABLES MODELO'!$B$16,IF(A67&lt;=120,'VARIABLES MODELO'!$B$17,'VARIABLES MODELO'!$B$18)))))</f>
        <v>0.03</v>
      </c>
      <c r="G67" s="3" t="n">
        <f aca="false">D67*F67</f>
        <v>2.265</v>
      </c>
      <c r="H67" s="70"/>
      <c r="I67" s="3" t="n">
        <f aca="false">IF(H67="",G67,H67)</f>
        <v>2.265</v>
      </c>
      <c r="J67" s="71" t="n">
        <f aca="false">IF(A67&lt;=15,'VARIABLES MODELO'!$B$8,'VARIABLES MODELO'!$B$10)</f>
        <v>509.36</v>
      </c>
      <c r="K67" s="71" t="n">
        <f aca="false">I67*J67</f>
        <v>1153.7004</v>
      </c>
      <c r="L67" s="71" t="n">
        <f aca="false">SUM($K$4:K67)</f>
        <v>70714.224566</v>
      </c>
      <c r="M67" s="2" t="n">
        <f aca="false">MROUND(I67*'VARIABLES MODELO'!$B$5,30)</f>
        <v>60</v>
      </c>
      <c r="N67" s="2" t="n">
        <f aca="false">IF(A67&lt;=15,MROUND(M67/'VARIABLES MODELO'!$B$11,0.5),MROUND(M67/'VARIABLES MODELO'!$B$12,0.5))</f>
        <v>2</v>
      </c>
      <c r="O67" s="2" t="n">
        <f aca="false">IF(A67&lt;=15,SUM($M$4:M67)/'VARIABLES MODELO'!$B$11,SUM($M$19:M67)/'VARIABLES MODELO'!$B$12)</f>
        <v>98</v>
      </c>
    </row>
    <row r="68" customFormat="false" ht="14.25" hidden="false" customHeight="false" outlineLevel="0" collapsed="false">
      <c r="A68" s="0" t="n">
        <v>65</v>
      </c>
      <c r="B68" s="68" t="n">
        <f aca="false">'VARIABLES MODELO'!$B$4+A68-1</f>
        <v>46349</v>
      </c>
      <c r="C68" s="0" t="str">
        <f aca="false">IF(A68&lt;=15,"Hiper-Precoz 23%","Precoz 19%")</f>
        <v>Precoz 19%</v>
      </c>
      <c r="D68" s="2" t="n">
        <f aca="false">+D67+E67</f>
        <v>76.1</v>
      </c>
      <c r="E68" s="2" t="n">
        <f aca="false">PRECOZ!C55</f>
        <v>0.6</v>
      </c>
      <c r="F68" s="69" t="n">
        <f aca="false">IF(A68&lt;=5,'VARIABLES MODELO'!$B$13,IF(A68&lt;=15,'VARIABLES MODELO'!$B$14,IF(A68&lt;=50,'VARIABLES MODELO'!$B$15,IF(A68&lt;=80,'VARIABLES MODELO'!$B$16,IF(A68&lt;=120,'VARIABLES MODELO'!$B$17,'VARIABLES MODELO'!$B$18)))))</f>
        <v>0.03</v>
      </c>
      <c r="G68" s="3" t="n">
        <f aca="false">D68*F68</f>
        <v>2.283</v>
      </c>
      <c r="H68" s="70"/>
      <c r="I68" s="3" t="n">
        <f aca="false">IF(H68="",G68,H68)</f>
        <v>2.283</v>
      </c>
      <c r="J68" s="71" t="n">
        <f aca="false">IF(A68&lt;=15,'VARIABLES MODELO'!$B$8,'VARIABLES MODELO'!$B$10)</f>
        <v>509.36</v>
      </c>
      <c r="K68" s="71" t="n">
        <f aca="false">I68*J68</f>
        <v>1162.86888</v>
      </c>
      <c r="L68" s="71" t="n">
        <f aca="false">SUM($K$4:K68)</f>
        <v>71877.093446</v>
      </c>
      <c r="M68" s="2" t="n">
        <f aca="false">MROUND(I68*'VARIABLES MODELO'!$B$5,30)</f>
        <v>90</v>
      </c>
      <c r="N68" s="2" t="n">
        <f aca="false">IF(A68&lt;=15,MROUND(M68/'VARIABLES MODELO'!$B$11,0.5),MROUND(M68/'VARIABLES MODELO'!$B$12,0.5))</f>
        <v>3</v>
      </c>
      <c r="O68" s="2" t="n">
        <f aca="false">IF(A68&lt;=15,SUM($M$4:M68)/'VARIABLES MODELO'!$B$11,SUM($M$19:M68)/'VARIABLES MODELO'!$B$12)</f>
        <v>101</v>
      </c>
    </row>
    <row r="69" customFormat="false" ht="14.25" hidden="false" customHeight="false" outlineLevel="0" collapsed="false">
      <c r="A69" s="0" t="n">
        <v>66</v>
      </c>
      <c r="B69" s="68" t="n">
        <f aca="false">'VARIABLES MODELO'!$B$4+A69-1</f>
        <v>46350</v>
      </c>
      <c r="C69" s="0" t="str">
        <f aca="false">IF(A69&lt;=15,"Hiper-Precoz 23%","Precoz 19%")</f>
        <v>Precoz 19%</v>
      </c>
      <c r="D69" s="2" t="n">
        <f aca="false">+D68+E68</f>
        <v>76.6999999999999</v>
      </c>
      <c r="E69" s="2" t="n">
        <f aca="false">PRECOZ!C56</f>
        <v>0.6</v>
      </c>
      <c r="F69" s="69" t="n">
        <f aca="false">IF(A69&lt;=5,'VARIABLES MODELO'!$B$13,IF(A69&lt;=15,'VARIABLES MODELO'!$B$14,IF(A69&lt;=50,'VARIABLES MODELO'!$B$15,IF(A69&lt;=80,'VARIABLES MODELO'!$B$16,IF(A69&lt;=120,'VARIABLES MODELO'!$B$17,'VARIABLES MODELO'!$B$18)))))</f>
        <v>0.03</v>
      </c>
      <c r="G69" s="3" t="n">
        <f aca="false">D69*F69</f>
        <v>2.301</v>
      </c>
      <c r="H69" s="70"/>
      <c r="I69" s="3" t="n">
        <f aca="false">IF(H69="",G69,H69)</f>
        <v>2.301</v>
      </c>
      <c r="J69" s="71" t="n">
        <f aca="false">IF(A69&lt;=15,'VARIABLES MODELO'!$B$8,'VARIABLES MODELO'!$B$10)</f>
        <v>509.36</v>
      </c>
      <c r="K69" s="71" t="n">
        <f aca="false">I69*J69</f>
        <v>1172.03736</v>
      </c>
      <c r="L69" s="71" t="n">
        <f aca="false">SUM($K$4:K69)</f>
        <v>73049.130806</v>
      </c>
      <c r="M69" s="2" t="n">
        <f aca="false">MROUND(I69*'VARIABLES MODELO'!$B$5,30)</f>
        <v>90</v>
      </c>
      <c r="N69" s="2" t="n">
        <f aca="false">IF(A69&lt;=15,MROUND(M69/'VARIABLES MODELO'!$B$11,0.5),MROUND(M69/'VARIABLES MODELO'!$B$12,0.5))</f>
        <v>3</v>
      </c>
      <c r="O69" s="2" t="n">
        <f aca="false">IF(A69&lt;=15,SUM($M$4:M69)/'VARIABLES MODELO'!$B$11,SUM($M$19:M69)/'VARIABLES MODELO'!$B$12)</f>
        <v>104</v>
      </c>
    </row>
    <row r="70" customFormat="false" ht="14.25" hidden="false" customHeight="false" outlineLevel="0" collapsed="false">
      <c r="A70" s="0" t="n">
        <v>67</v>
      </c>
      <c r="B70" s="68" t="n">
        <f aca="false">'VARIABLES MODELO'!$B$4+A70-1</f>
        <v>46351</v>
      </c>
      <c r="C70" s="0" t="str">
        <f aca="false">IF(A70&lt;=15,"Hiper-Precoz 23%","Precoz 19%")</f>
        <v>Precoz 19%</v>
      </c>
      <c r="D70" s="2" t="n">
        <f aca="false">+D69+E69</f>
        <v>77.2999999999999</v>
      </c>
      <c r="E70" s="2" t="n">
        <f aca="false">PRECOZ!C57</f>
        <v>0.6</v>
      </c>
      <c r="F70" s="69" t="n">
        <f aca="false">IF(A70&lt;=5,'VARIABLES MODELO'!$B$13,IF(A70&lt;=15,'VARIABLES MODELO'!$B$14,IF(A70&lt;=50,'VARIABLES MODELO'!$B$15,IF(A70&lt;=80,'VARIABLES MODELO'!$B$16,IF(A70&lt;=120,'VARIABLES MODELO'!$B$17,'VARIABLES MODELO'!$B$18)))))</f>
        <v>0.03</v>
      </c>
      <c r="G70" s="3" t="n">
        <f aca="false">D70*F70</f>
        <v>2.319</v>
      </c>
      <c r="H70" s="70"/>
      <c r="I70" s="3" t="n">
        <f aca="false">IF(H70="",G70,H70)</f>
        <v>2.319</v>
      </c>
      <c r="J70" s="71" t="n">
        <f aca="false">IF(A70&lt;=15,'VARIABLES MODELO'!$B$8,'VARIABLES MODELO'!$B$10)</f>
        <v>509.36</v>
      </c>
      <c r="K70" s="71" t="n">
        <f aca="false">I70*J70</f>
        <v>1181.20584</v>
      </c>
      <c r="L70" s="71" t="n">
        <f aca="false">SUM($K$4:K70)</f>
        <v>74230.336646</v>
      </c>
      <c r="M70" s="2" t="n">
        <f aca="false">MROUND(I70*'VARIABLES MODELO'!$B$5,30)</f>
        <v>90</v>
      </c>
      <c r="N70" s="2" t="n">
        <f aca="false">IF(A70&lt;=15,MROUND(M70/'VARIABLES MODELO'!$B$11,0.5),MROUND(M70/'VARIABLES MODELO'!$B$12,0.5))</f>
        <v>3</v>
      </c>
      <c r="O70" s="2" t="n">
        <f aca="false">IF(A70&lt;=15,SUM($M$4:M70)/'VARIABLES MODELO'!$B$11,SUM($M$19:M70)/'VARIABLES MODELO'!$B$12)</f>
        <v>107</v>
      </c>
    </row>
    <row r="71" customFormat="false" ht="14.25" hidden="false" customHeight="false" outlineLevel="0" collapsed="false">
      <c r="A71" s="0" t="n">
        <v>68</v>
      </c>
      <c r="B71" s="68" t="n">
        <f aca="false">'VARIABLES MODELO'!$B$4+A71-1</f>
        <v>46352</v>
      </c>
      <c r="C71" s="0" t="str">
        <f aca="false">IF(A71&lt;=15,"Hiper-Precoz 23%","Precoz 19%")</f>
        <v>Precoz 19%</v>
      </c>
      <c r="D71" s="2" t="n">
        <f aca="false">+D70+E70</f>
        <v>77.8999999999999</v>
      </c>
      <c r="E71" s="2" t="n">
        <f aca="false">PRECOZ!C58</f>
        <v>0.6</v>
      </c>
      <c r="F71" s="69" t="n">
        <f aca="false">IF(A71&lt;=5,'VARIABLES MODELO'!$B$13,IF(A71&lt;=15,'VARIABLES MODELO'!$B$14,IF(A71&lt;=50,'VARIABLES MODELO'!$B$15,IF(A71&lt;=80,'VARIABLES MODELO'!$B$16,IF(A71&lt;=120,'VARIABLES MODELO'!$B$17,'VARIABLES MODELO'!$B$18)))))</f>
        <v>0.03</v>
      </c>
      <c r="G71" s="3" t="n">
        <f aca="false">D71*F71</f>
        <v>2.337</v>
      </c>
      <c r="H71" s="70"/>
      <c r="I71" s="3" t="n">
        <f aca="false">IF(H71="",G71,H71)</f>
        <v>2.337</v>
      </c>
      <c r="J71" s="71" t="n">
        <f aca="false">IF(A71&lt;=15,'VARIABLES MODELO'!$B$8,'VARIABLES MODELO'!$B$10)</f>
        <v>509.36</v>
      </c>
      <c r="K71" s="71" t="n">
        <f aca="false">I71*J71</f>
        <v>1190.37432</v>
      </c>
      <c r="L71" s="71" t="n">
        <f aca="false">SUM($K$4:K71)</f>
        <v>75420.710966</v>
      </c>
      <c r="M71" s="2" t="n">
        <f aca="false">MROUND(I71*'VARIABLES MODELO'!$B$5,30)</f>
        <v>90</v>
      </c>
      <c r="N71" s="2" t="n">
        <f aca="false">IF(A71&lt;=15,MROUND(M71/'VARIABLES MODELO'!$B$11,0.5),MROUND(M71/'VARIABLES MODELO'!$B$12,0.5))</f>
        <v>3</v>
      </c>
      <c r="O71" s="2" t="n">
        <f aca="false">IF(A71&lt;=15,SUM($M$4:M71)/'VARIABLES MODELO'!$B$11,SUM($M$19:M71)/'VARIABLES MODELO'!$B$12)</f>
        <v>110</v>
      </c>
    </row>
    <row r="72" customFormat="false" ht="14.25" hidden="false" customHeight="false" outlineLevel="0" collapsed="false">
      <c r="A72" s="0" t="n">
        <v>69</v>
      </c>
      <c r="B72" s="68" t="n">
        <f aca="false">'VARIABLES MODELO'!$B$4+A72-1</f>
        <v>46353</v>
      </c>
      <c r="C72" s="0" t="str">
        <f aca="false">IF(A72&lt;=15,"Hiper-Precoz 23%","Precoz 19%")</f>
        <v>Precoz 19%</v>
      </c>
      <c r="D72" s="2" t="n">
        <f aca="false">+D71+E71</f>
        <v>78.4999999999999</v>
      </c>
      <c r="E72" s="2" t="n">
        <f aca="false">PRECOZ!C59</f>
        <v>0.6</v>
      </c>
      <c r="F72" s="69" t="n">
        <f aca="false">IF(A72&lt;=5,'VARIABLES MODELO'!$B$13,IF(A72&lt;=15,'VARIABLES MODELO'!$B$14,IF(A72&lt;=50,'VARIABLES MODELO'!$B$15,IF(A72&lt;=80,'VARIABLES MODELO'!$B$16,IF(A72&lt;=120,'VARIABLES MODELO'!$B$17,'VARIABLES MODELO'!$B$18)))))</f>
        <v>0.03</v>
      </c>
      <c r="G72" s="3" t="n">
        <f aca="false">D72*F72</f>
        <v>2.355</v>
      </c>
      <c r="H72" s="70"/>
      <c r="I72" s="3" t="n">
        <f aca="false">IF(H72="",G72,H72)</f>
        <v>2.355</v>
      </c>
      <c r="J72" s="71" t="n">
        <f aca="false">IF(A72&lt;=15,'VARIABLES MODELO'!$B$8,'VARIABLES MODELO'!$B$10)</f>
        <v>509.36</v>
      </c>
      <c r="K72" s="71" t="n">
        <f aca="false">I72*J72</f>
        <v>1199.5428</v>
      </c>
      <c r="L72" s="71" t="n">
        <f aca="false">SUM($K$4:K72)</f>
        <v>76620.253766</v>
      </c>
      <c r="M72" s="2" t="n">
        <f aca="false">MROUND(I72*'VARIABLES MODELO'!$B$5,30)</f>
        <v>90</v>
      </c>
      <c r="N72" s="2" t="n">
        <f aca="false">IF(A72&lt;=15,MROUND(M72/'VARIABLES MODELO'!$B$11,0.5),MROUND(M72/'VARIABLES MODELO'!$B$12,0.5))</f>
        <v>3</v>
      </c>
      <c r="O72" s="2" t="n">
        <f aca="false">IF(A72&lt;=15,SUM($M$4:M72)/'VARIABLES MODELO'!$B$11,SUM($M$19:M72)/'VARIABLES MODELO'!$B$12)</f>
        <v>113</v>
      </c>
    </row>
    <row r="73" customFormat="false" ht="14.25" hidden="false" customHeight="false" outlineLevel="0" collapsed="false">
      <c r="A73" s="0" t="n">
        <v>70</v>
      </c>
      <c r="B73" s="68" t="n">
        <f aca="false">'VARIABLES MODELO'!$B$4+A73-1</f>
        <v>46354</v>
      </c>
      <c r="C73" s="0" t="str">
        <f aca="false">IF(A73&lt;=15,"Hiper-Precoz 23%","Precoz 19%")</f>
        <v>Precoz 19%</v>
      </c>
      <c r="D73" s="2" t="n">
        <f aca="false">+D72+E72</f>
        <v>79.0999999999999</v>
      </c>
      <c r="E73" s="2" t="n">
        <f aca="false">PRECOZ!C60</f>
        <v>0.6</v>
      </c>
      <c r="F73" s="69" t="n">
        <f aca="false">IF(A73&lt;=5,'VARIABLES MODELO'!$B$13,IF(A73&lt;=15,'VARIABLES MODELO'!$B$14,IF(A73&lt;=50,'VARIABLES MODELO'!$B$15,IF(A73&lt;=80,'VARIABLES MODELO'!$B$16,IF(A73&lt;=120,'VARIABLES MODELO'!$B$17,'VARIABLES MODELO'!$B$18)))))</f>
        <v>0.03</v>
      </c>
      <c r="G73" s="3" t="n">
        <f aca="false">D73*F73</f>
        <v>2.373</v>
      </c>
      <c r="H73" s="70"/>
      <c r="I73" s="3" t="n">
        <f aca="false">IF(H73="",G73,H73)</f>
        <v>2.373</v>
      </c>
      <c r="J73" s="71" t="n">
        <f aca="false">IF(A73&lt;=15,'VARIABLES MODELO'!$B$8,'VARIABLES MODELO'!$B$10)</f>
        <v>509.36</v>
      </c>
      <c r="K73" s="71" t="n">
        <f aca="false">I73*J73</f>
        <v>1208.71128</v>
      </c>
      <c r="L73" s="71" t="n">
        <f aca="false">SUM($K$4:K73)</f>
        <v>77828.965046</v>
      </c>
      <c r="M73" s="2" t="n">
        <f aca="false">MROUND(I73*'VARIABLES MODELO'!$B$5,30)</f>
        <v>90</v>
      </c>
      <c r="N73" s="2" t="n">
        <f aca="false">IF(A73&lt;=15,MROUND(M73/'VARIABLES MODELO'!$B$11,0.5),MROUND(M73/'VARIABLES MODELO'!$B$12,0.5))</f>
        <v>3</v>
      </c>
      <c r="O73" s="2" t="n">
        <f aca="false">IF(A73&lt;=15,SUM($M$4:M73)/'VARIABLES MODELO'!$B$11,SUM($M$19:M73)/'VARIABLES MODELO'!$B$12)</f>
        <v>116</v>
      </c>
    </row>
    <row r="74" customFormat="false" ht="14.25" hidden="false" customHeight="false" outlineLevel="0" collapsed="false">
      <c r="A74" s="0" t="n">
        <v>71</v>
      </c>
      <c r="B74" s="68" t="n">
        <f aca="false">'VARIABLES MODELO'!$B$4+A74-1</f>
        <v>46355</v>
      </c>
      <c r="C74" s="0" t="str">
        <f aca="false">IF(A74&lt;=15,"Hiper-Precoz 23%","Precoz 19%")</f>
        <v>Precoz 19%</v>
      </c>
      <c r="D74" s="2" t="n">
        <f aca="false">+D73+E73</f>
        <v>79.6999999999999</v>
      </c>
      <c r="E74" s="2" t="n">
        <f aca="false">PRECOZ!C61</f>
        <v>0.6</v>
      </c>
      <c r="F74" s="69" t="n">
        <f aca="false">IF(A74&lt;=5,'VARIABLES MODELO'!$B$13,IF(A74&lt;=15,'VARIABLES MODELO'!$B$14,IF(A74&lt;=50,'VARIABLES MODELO'!$B$15,IF(A74&lt;=80,'VARIABLES MODELO'!$B$16,IF(A74&lt;=120,'VARIABLES MODELO'!$B$17,'VARIABLES MODELO'!$B$18)))))</f>
        <v>0.03</v>
      </c>
      <c r="G74" s="3" t="n">
        <f aca="false">D74*F74</f>
        <v>2.391</v>
      </c>
      <c r="H74" s="70"/>
      <c r="I74" s="3" t="n">
        <f aca="false">IF(H74="",G74,H74)</f>
        <v>2.391</v>
      </c>
      <c r="J74" s="71" t="n">
        <f aca="false">IF(A74&lt;=15,'VARIABLES MODELO'!$B$8,'VARIABLES MODELO'!$B$10)</f>
        <v>509.36</v>
      </c>
      <c r="K74" s="71" t="n">
        <f aca="false">I74*J74</f>
        <v>1217.87976</v>
      </c>
      <c r="L74" s="71" t="n">
        <f aca="false">SUM($K$4:K74)</f>
        <v>79046.844806</v>
      </c>
      <c r="M74" s="2" t="n">
        <f aca="false">MROUND(I74*'VARIABLES MODELO'!$B$5,30)</f>
        <v>90</v>
      </c>
      <c r="N74" s="2" t="n">
        <f aca="false">IF(A74&lt;=15,MROUND(M74/'VARIABLES MODELO'!$B$11,0.5),MROUND(M74/'VARIABLES MODELO'!$B$12,0.5))</f>
        <v>3</v>
      </c>
      <c r="O74" s="2" t="n">
        <f aca="false">IF(A74&lt;=15,SUM($M$4:M74)/'VARIABLES MODELO'!$B$11,SUM($M$19:M74)/'VARIABLES MODELO'!$B$12)</f>
        <v>119</v>
      </c>
    </row>
    <row r="75" customFormat="false" ht="14.25" hidden="false" customHeight="false" outlineLevel="0" collapsed="false">
      <c r="A75" s="0" t="n">
        <v>72</v>
      </c>
      <c r="B75" s="68" t="n">
        <f aca="false">'VARIABLES MODELO'!$B$4+A75-1</f>
        <v>46356</v>
      </c>
      <c r="C75" s="0" t="str">
        <f aca="false">IF(A75&lt;=15,"Hiper-Precoz 23%","Precoz 19%")</f>
        <v>Precoz 19%</v>
      </c>
      <c r="D75" s="2" t="n">
        <f aca="false">+D74+E74</f>
        <v>80.2999999999999</v>
      </c>
      <c r="E75" s="2" t="n">
        <f aca="false">PRECOZ!C62</f>
        <v>0.6</v>
      </c>
      <c r="F75" s="69" t="n">
        <f aca="false">IF(A75&lt;=5,'VARIABLES MODELO'!$B$13,IF(A75&lt;=15,'VARIABLES MODELO'!$B$14,IF(A75&lt;=50,'VARIABLES MODELO'!$B$15,IF(A75&lt;=80,'VARIABLES MODELO'!$B$16,IF(A75&lt;=120,'VARIABLES MODELO'!$B$17,'VARIABLES MODELO'!$B$18)))))</f>
        <v>0.03</v>
      </c>
      <c r="G75" s="3" t="n">
        <f aca="false">D75*F75</f>
        <v>2.409</v>
      </c>
      <c r="H75" s="70"/>
      <c r="I75" s="3" t="n">
        <f aca="false">IF(H75="",G75,H75)</f>
        <v>2.409</v>
      </c>
      <c r="J75" s="71" t="n">
        <f aca="false">IF(A75&lt;=15,'VARIABLES MODELO'!$B$8,'VARIABLES MODELO'!$B$10)</f>
        <v>509.36</v>
      </c>
      <c r="K75" s="71" t="n">
        <f aca="false">I75*J75</f>
        <v>1227.04824</v>
      </c>
      <c r="L75" s="71" t="n">
        <f aca="false">SUM($K$4:K75)</f>
        <v>80273.893046</v>
      </c>
      <c r="M75" s="2" t="n">
        <f aca="false">MROUND(I75*'VARIABLES MODELO'!$B$5,30)</f>
        <v>90</v>
      </c>
      <c r="N75" s="2" t="n">
        <f aca="false">IF(A75&lt;=15,MROUND(M75/'VARIABLES MODELO'!$B$11,0.5),MROUND(M75/'VARIABLES MODELO'!$B$12,0.5))</f>
        <v>3</v>
      </c>
      <c r="O75" s="2" t="n">
        <f aca="false">IF(A75&lt;=15,SUM($M$4:M75)/'VARIABLES MODELO'!$B$11,SUM($M$19:M75)/'VARIABLES MODELO'!$B$12)</f>
        <v>122</v>
      </c>
    </row>
    <row r="76" customFormat="false" ht="14.25" hidden="false" customHeight="false" outlineLevel="0" collapsed="false">
      <c r="A76" s="0" t="n">
        <v>73</v>
      </c>
      <c r="B76" s="68" t="n">
        <f aca="false">'VARIABLES MODELO'!$B$4+A76-1</f>
        <v>46357</v>
      </c>
      <c r="C76" s="0" t="str">
        <f aca="false">IF(A76&lt;=15,"Hiper-Precoz 23%","Precoz 19%")</f>
        <v>Precoz 19%</v>
      </c>
      <c r="D76" s="2" t="n">
        <f aca="false">+D75+E75</f>
        <v>80.8999999999999</v>
      </c>
      <c r="E76" s="2" t="n">
        <f aca="false">PRECOZ!C63</f>
        <v>0.6</v>
      </c>
      <c r="F76" s="69" t="n">
        <f aca="false">IF(A76&lt;=5,'VARIABLES MODELO'!$B$13,IF(A76&lt;=15,'VARIABLES MODELO'!$B$14,IF(A76&lt;=50,'VARIABLES MODELO'!$B$15,IF(A76&lt;=80,'VARIABLES MODELO'!$B$16,IF(A76&lt;=120,'VARIABLES MODELO'!$B$17,'VARIABLES MODELO'!$B$18)))))</f>
        <v>0.03</v>
      </c>
      <c r="G76" s="3" t="n">
        <f aca="false">D76*F76</f>
        <v>2.427</v>
      </c>
      <c r="H76" s="70"/>
      <c r="I76" s="3" t="n">
        <f aca="false">IF(H76="",G76,H76)</f>
        <v>2.427</v>
      </c>
      <c r="J76" s="71" t="n">
        <f aca="false">IF(A76&lt;=15,'VARIABLES MODELO'!$B$8,'VARIABLES MODELO'!$B$10)</f>
        <v>509.36</v>
      </c>
      <c r="K76" s="71" t="n">
        <f aca="false">I76*J76</f>
        <v>1236.21672</v>
      </c>
      <c r="L76" s="71" t="n">
        <f aca="false">SUM($K$4:K76)</f>
        <v>81510.109766</v>
      </c>
      <c r="M76" s="2" t="n">
        <f aca="false">MROUND(I76*'VARIABLES MODELO'!$B$5,30)</f>
        <v>90</v>
      </c>
      <c r="N76" s="2" t="n">
        <f aca="false">IF(A76&lt;=15,MROUND(M76/'VARIABLES MODELO'!$B$11,0.5),MROUND(M76/'VARIABLES MODELO'!$B$12,0.5))</f>
        <v>3</v>
      </c>
      <c r="O76" s="2" t="n">
        <f aca="false">IF(A76&lt;=15,SUM($M$4:M76)/'VARIABLES MODELO'!$B$11,SUM($M$19:M76)/'VARIABLES MODELO'!$B$12)</f>
        <v>125</v>
      </c>
    </row>
    <row r="77" customFormat="false" ht="14.25" hidden="false" customHeight="false" outlineLevel="0" collapsed="false">
      <c r="A77" s="0" t="n">
        <v>74</v>
      </c>
      <c r="B77" s="68" t="n">
        <f aca="false">'VARIABLES MODELO'!$B$4+A77-1</f>
        <v>46358</v>
      </c>
      <c r="C77" s="0" t="str">
        <f aca="false">IF(A77&lt;=15,"Hiper-Precoz 23%","Precoz 19%")</f>
        <v>Precoz 19%</v>
      </c>
      <c r="D77" s="2" t="n">
        <f aca="false">+D76+E76</f>
        <v>81.4999999999999</v>
      </c>
      <c r="E77" s="2" t="n">
        <f aca="false">PRECOZ!C64</f>
        <v>0.6</v>
      </c>
      <c r="F77" s="69" t="n">
        <f aca="false">IF(A77&lt;=5,'VARIABLES MODELO'!$B$13,IF(A77&lt;=15,'VARIABLES MODELO'!$B$14,IF(A77&lt;=50,'VARIABLES MODELO'!$B$15,IF(A77&lt;=80,'VARIABLES MODELO'!$B$16,IF(A77&lt;=120,'VARIABLES MODELO'!$B$17,'VARIABLES MODELO'!$B$18)))))</f>
        <v>0.03</v>
      </c>
      <c r="G77" s="3" t="n">
        <f aca="false">D77*F77</f>
        <v>2.445</v>
      </c>
      <c r="H77" s="70"/>
      <c r="I77" s="3" t="n">
        <f aca="false">IF(H77="",G77,H77)</f>
        <v>2.445</v>
      </c>
      <c r="J77" s="71" t="n">
        <f aca="false">IF(A77&lt;=15,'VARIABLES MODELO'!$B$8,'VARIABLES MODELO'!$B$10)</f>
        <v>509.36</v>
      </c>
      <c r="K77" s="71" t="n">
        <f aca="false">I77*J77</f>
        <v>1245.3852</v>
      </c>
      <c r="L77" s="71" t="n">
        <f aca="false">SUM($K$4:K77)</f>
        <v>82755.494966</v>
      </c>
      <c r="M77" s="2" t="n">
        <f aca="false">MROUND(I77*'VARIABLES MODELO'!$B$5,30)</f>
        <v>90</v>
      </c>
      <c r="N77" s="2" t="n">
        <f aca="false">IF(A77&lt;=15,MROUND(M77/'VARIABLES MODELO'!$B$11,0.5),MROUND(M77/'VARIABLES MODELO'!$B$12,0.5))</f>
        <v>3</v>
      </c>
      <c r="O77" s="2" t="n">
        <f aca="false">IF(A77&lt;=15,SUM($M$4:M77)/'VARIABLES MODELO'!$B$11,SUM($M$19:M77)/'VARIABLES MODELO'!$B$12)</f>
        <v>128</v>
      </c>
    </row>
    <row r="78" customFormat="false" ht="14.25" hidden="false" customHeight="false" outlineLevel="0" collapsed="false">
      <c r="A78" s="0" t="n">
        <v>75</v>
      </c>
      <c r="B78" s="68" t="n">
        <f aca="false">'VARIABLES MODELO'!$B$4+A78-1</f>
        <v>46359</v>
      </c>
      <c r="C78" s="0" t="str">
        <f aca="false">IF(A78&lt;=15,"Hiper-Precoz 23%","Precoz 19%")</f>
        <v>Precoz 19%</v>
      </c>
      <c r="D78" s="2" t="n">
        <f aca="false">+D77+E77</f>
        <v>82.0999999999999</v>
      </c>
      <c r="E78" s="2" t="n">
        <f aca="false">PRECOZ!C65</f>
        <v>0.6</v>
      </c>
      <c r="F78" s="69" t="n">
        <f aca="false">IF(A78&lt;=5,'VARIABLES MODELO'!$B$13,IF(A78&lt;=15,'VARIABLES MODELO'!$B$14,IF(A78&lt;=50,'VARIABLES MODELO'!$B$15,IF(A78&lt;=80,'VARIABLES MODELO'!$B$16,IF(A78&lt;=120,'VARIABLES MODELO'!$B$17,'VARIABLES MODELO'!$B$18)))))</f>
        <v>0.03</v>
      </c>
      <c r="G78" s="3" t="n">
        <f aca="false">D78*F78</f>
        <v>2.463</v>
      </c>
      <c r="H78" s="70"/>
      <c r="I78" s="3" t="n">
        <f aca="false">IF(H78="",G78,H78)</f>
        <v>2.463</v>
      </c>
      <c r="J78" s="71" t="n">
        <f aca="false">IF(A78&lt;=15,'VARIABLES MODELO'!$B$8,'VARIABLES MODELO'!$B$10)</f>
        <v>509.36</v>
      </c>
      <c r="K78" s="71" t="n">
        <f aca="false">I78*J78</f>
        <v>1254.55368</v>
      </c>
      <c r="L78" s="71" t="n">
        <f aca="false">SUM($K$4:K78)</f>
        <v>84010.048646</v>
      </c>
      <c r="M78" s="2" t="n">
        <f aca="false">MROUND(I78*'VARIABLES MODELO'!$B$5,30)</f>
        <v>90</v>
      </c>
      <c r="N78" s="2" t="n">
        <f aca="false">IF(A78&lt;=15,MROUND(M78/'VARIABLES MODELO'!$B$11,0.5),MROUND(M78/'VARIABLES MODELO'!$B$12,0.5))</f>
        <v>3</v>
      </c>
      <c r="O78" s="2" t="n">
        <f aca="false">IF(A78&lt;=15,SUM($M$4:M78)/'VARIABLES MODELO'!$B$11,SUM($M$19:M78)/'VARIABLES MODELO'!$B$12)</f>
        <v>131</v>
      </c>
    </row>
    <row r="79" customFormat="false" ht="14.25" hidden="false" customHeight="false" outlineLevel="0" collapsed="false">
      <c r="A79" s="0" t="n">
        <v>76</v>
      </c>
      <c r="B79" s="68" t="n">
        <f aca="false">'VARIABLES MODELO'!$B$4+A79-1</f>
        <v>46360</v>
      </c>
      <c r="C79" s="0" t="str">
        <f aca="false">IF(A79&lt;=15,"Hiper-Precoz 23%","Precoz 19%")</f>
        <v>Precoz 19%</v>
      </c>
      <c r="D79" s="2" t="n">
        <f aca="false">+D78+E78</f>
        <v>82.6999999999999</v>
      </c>
      <c r="E79" s="2" t="n">
        <f aca="false">PRECOZ!C66</f>
        <v>0.6</v>
      </c>
      <c r="F79" s="69" t="n">
        <f aca="false">IF(A79&lt;=5,'VARIABLES MODELO'!$B$13,IF(A79&lt;=15,'VARIABLES MODELO'!$B$14,IF(A79&lt;=50,'VARIABLES MODELO'!$B$15,IF(A79&lt;=80,'VARIABLES MODELO'!$B$16,IF(A79&lt;=120,'VARIABLES MODELO'!$B$17,'VARIABLES MODELO'!$B$18)))))</f>
        <v>0.03</v>
      </c>
      <c r="G79" s="3" t="n">
        <f aca="false">D79*F79</f>
        <v>2.481</v>
      </c>
      <c r="H79" s="70"/>
      <c r="I79" s="3" t="n">
        <f aca="false">IF(H79="",G79,H79)</f>
        <v>2.481</v>
      </c>
      <c r="J79" s="71" t="n">
        <f aca="false">IF(A79&lt;=15,'VARIABLES MODELO'!$B$8,'VARIABLES MODELO'!$B$10)</f>
        <v>509.36</v>
      </c>
      <c r="K79" s="71" t="n">
        <f aca="false">I79*J79</f>
        <v>1263.72216</v>
      </c>
      <c r="L79" s="71" t="n">
        <f aca="false">SUM($K$4:K79)</f>
        <v>85273.770806</v>
      </c>
      <c r="M79" s="2" t="n">
        <f aca="false">MROUND(I79*'VARIABLES MODELO'!$B$5,30)</f>
        <v>90</v>
      </c>
      <c r="N79" s="2" t="n">
        <f aca="false">IF(A79&lt;=15,MROUND(M79/'VARIABLES MODELO'!$B$11,0.5),MROUND(M79/'VARIABLES MODELO'!$B$12,0.5))</f>
        <v>3</v>
      </c>
      <c r="O79" s="2" t="n">
        <f aca="false">IF(A79&lt;=15,SUM($M$4:M79)/'VARIABLES MODELO'!$B$11,SUM($M$19:M79)/'VARIABLES MODELO'!$B$12)</f>
        <v>134</v>
      </c>
    </row>
    <row r="80" customFormat="false" ht="14.25" hidden="false" customHeight="false" outlineLevel="0" collapsed="false">
      <c r="A80" s="0" t="n">
        <v>77</v>
      </c>
      <c r="B80" s="68" t="n">
        <f aca="false">'VARIABLES MODELO'!$B$4+A80-1</f>
        <v>46361</v>
      </c>
      <c r="C80" s="0" t="str">
        <f aca="false">IF(A80&lt;=15,"Hiper-Precoz 23%","Precoz 19%")</f>
        <v>Precoz 19%</v>
      </c>
      <c r="D80" s="2" t="n">
        <f aca="false">+D79+E79</f>
        <v>83.2999999999999</v>
      </c>
      <c r="E80" s="2" t="n">
        <f aca="false">PRECOZ!C67</f>
        <v>0.6</v>
      </c>
      <c r="F80" s="69" t="n">
        <f aca="false">IF(A80&lt;=5,'VARIABLES MODELO'!$B$13,IF(A80&lt;=15,'VARIABLES MODELO'!$B$14,IF(A80&lt;=50,'VARIABLES MODELO'!$B$15,IF(A80&lt;=80,'VARIABLES MODELO'!$B$16,IF(A80&lt;=120,'VARIABLES MODELO'!$B$17,'VARIABLES MODELO'!$B$18)))))</f>
        <v>0.03</v>
      </c>
      <c r="G80" s="3" t="n">
        <f aca="false">D80*F80</f>
        <v>2.499</v>
      </c>
      <c r="H80" s="70"/>
      <c r="I80" s="3" t="n">
        <f aca="false">IF(H80="",G80,H80)</f>
        <v>2.499</v>
      </c>
      <c r="J80" s="71" t="n">
        <f aca="false">IF(A80&lt;=15,'VARIABLES MODELO'!$B$8,'VARIABLES MODELO'!$B$10)</f>
        <v>509.36</v>
      </c>
      <c r="K80" s="71" t="n">
        <f aca="false">I80*J80</f>
        <v>1272.89064</v>
      </c>
      <c r="L80" s="71" t="n">
        <f aca="false">SUM($K$4:K80)</f>
        <v>86546.661446</v>
      </c>
      <c r="M80" s="2" t="n">
        <f aca="false">MROUND(I80*'VARIABLES MODELO'!$B$5,30)</f>
        <v>90</v>
      </c>
      <c r="N80" s="2" t="n">
        <f aca="false">IF(A80&lt;=15,MROUND(M80/'VARIABLES MODELO'!$B$11,0.5),MROUND(M80/'VARIABLES MODELO'!$B$12,0.5))</f>
        <v>3</v>
      </c>
      <c r="O80" s="2" t="n">
        <f aca="false">IF(A80&lt;=15,SUM($M$4:M80)/'VARIABLES MODELO'!$B$11,SUM($M$19:M80)/'VARIABLES MODELO'!$B$12)</f>
        <v>137</v>
      </c>
    </row>
    <row r="81" customFormat="false" ht="14.25" hidden="false" customHeight="false" outlineLevel="0" collapsed="false">
      <c r="A81" s="0" t="n">
        <v>78</v>
      </c>
      <c r="B81" s="68" t="n">
        <f aca="false">'VARIABLES MODELO'!$B$4+A81-1</f>
        <v>46362</v>
      </c>
      <c r="C81" s="0" t="str">
        <f aca="false">IF(A81&lt;=15,"Hiper-Precoz 23%","Precoz 19%")</f>
        <v>Precoz 19%</v>
      </c>
      <c r="D81" s="2" t="n">
        <f aca="false">+D80+E80</f>
        <v>83.8999999999999</v>
      </c>
      <c r="E81" s="2" t="n">
        <f aca="false">PRECOZ!C68</f>
        <v>0.6</v>
      </c>
      <c r="F81" s="69" t="n">
        <f aca="false">IF(A81&lt;=5,'VARIABLES MODELO'!$B$13,IF(A81&lt;=15,'VARIABLES MODELO'!$B$14,IF(A81&lt;=50,'VARIABLES MODELO'!$B$15,IF(A81&lt;=80,'VARIABLES MODELO'!$B$16,IF(A81&lt;=120,'VARIABLES MODELO'!$B$17,'VARIABLES MODELO'!$B$18)))))</f>
        <v>0.03</v>
      </c>
      <c r="G81" s="3" t="n">
        <f aca="false">D81*F81</f>
        <v>2.517</v>
      </c>
      <c r="H81" s="70"/>
      <c r="I81" s="3" t="n">
        <f aca="false">IF(H81="",G81,H81)</f>
        <v>2.517</v>
      </c>
      <c r="J81" s="71" t="n">
        <f aca="false">IF(A81&lt;=15,'VARIABLES MODELO'!$B$8,'VARIABLES MODELO'!$B$10)</f>
        <v>509.36</v>
      </c>
      <c r="K81" s="71" t="n">
        <f aca="false">I81*J81</f>
        <v>1282.05912</v>
      </c>
      <c r="L81" s="71" t="n">
        <f aca="false">SUM($K$4:K81)</f>
        <v>87828.720566</v>
      </c>
      <c r="M81" s="2" t="n">
        <f aca="false">MROUND(I81*'VARIABLES MODELO'!$B$5,30)</f>
        <v>90</v>
      </c>
      <c r="N81" s="2" t="n">
        <f aca="false">IF(A81&lt;=15,MROUND(M81/'VARIABLES MODELO'!$B$11,0.5),MROUND(M81/'VARIABLES MODELO'!$B$12,0.5))</f>
        <v>3</v>
      </c>
      <c r="O81" s="2" t="n">
        <f aca="false">IF(A81&lt;=15,SUM($M$4:M81)/'VARIABLES MODELO'!$B$11,SUM($M$19:M81)/'VARIABLES MODELO'!$B$12)</f>
        <v>140</v>
      </c>
    </row>
    <row r="82" customFormat="false" ht="14.25" hidden="false" customHeight="false" outlineLevel="0" collapsed="false">
      <c r="A82" s="0" t="n">
        <v>79</v>
      </c>
      <c r="B82" s="68" t="n">
        <f aca="false">'VARIABLES MODELO'!$B$4+A82-1</f>
        <v>46363</v>
      </c>
      <c r="C82" s="0" t="str">
        <f aca="false">IF(A82&lt;=15,"Hiper-Precoz 23%","Precoz 19%")</f>
        <v>Precoz 19%</v>
      </c>
      <c r="D82" s="2" t="n">
        <f aca="false">+D81+E81</f>
        <v>84.4999999999999</v>
      </c>
      <c r="E82" s="2" t="n">
        <f aca="false">PRECOZ!C69</f>
        <v>0.6</v>
      </c>
      <c r="F82" s="69" t="n">
        <f aca="false">IF(A82&lt;=5,'VARIABLES MODELO'!$B$13,IF(A82&lt;=15,'VARIABLES MODELO'!$B$14,IF(A82&lt;=50,'VARIABLES MODELO'!$B$15,IF(A82&lt;=80,'VARIABLES MODELO'!$B$16,IF(A82&lt;=120,'VARIABLES MODELO'!$B$17,'VARIABLES MODELO'!$B$18)))))</f>
        <v>0.03</v>
      </c>
      <c r="G82" s="3" t="n">
        <f aca="false">D82*F82</f>
        <v>2.535</v>
      </c>
      <c r="H82" s="70"/>
      <c r="I82" s="3" t="n">
        <f aca="false">IF(H82="",G82,H82)</f>
        <v>2.535</v>
      </c>
      <c r="J82" s="71" t="n">
        <f aca="false">IF(A82&lt;=15,'VARIABLES MODELO'!$B$8,'VARIABLES MODELO'!$B$10)</f>
        <v>509.36</v>
      </c>
      <c r="K82" s="71" t="n">
        <f aca="false">I82*J82</f>
        <v>1291.2276</v>
      </c>
      <c r="L82" s="71" t="n">
        <f aca="false">SUM($K$4:K82)</f>
        <v>89119.948166</v>
      </c>
      <c r="M82" s="2" t="n">
        <f aca="false">MROUND(I82*'VARIABLES MODELO'!$B$5,30)</f>
        <v>90</v>
      </c>
      <c r="N82" s="2" t="n">
        <f aca="false">IF(A82&lt;=15,MROUND(M82/'VARIABLES MODELO'!$B$11,0.5),MROUND(M82/'VARIABLES MODELO'!$B$12,0.5))</f>
        <v>3</v>
      </c>
      <c r="O82" s="2" t="n">
        <f aca="false">IF(A82&lt;=15,SUM($M$4:M82)/'VARIABLES MODELO'!$B$11,SUM($M$19:M82)/'VARIABLES MODELO'!$B$12)</f>
        <v>143</v>
      </c>
    </row>
    <row r="83" customFormat="false" ht="14.25" hidden="false" customHeight="false" outlineLevel="0" collapsed="false">
      <c r="A83" s="0" t="n">
        <v>80</v>
      </c>
      <c r="B83" s="68" t="n">
        <f aca="false">'VARIABLES MODELO'!$B$4+A83-1</f>
        <v>46364</v>
      </c>
      <c r="C83" s="0" t="str">
        <f aca="false">IF(A83&lt;=15,"Hiper-Precoz 23%","Precoz 19%")</f>
        <v>Precoz 19%</v>
      </c>
      <c r="D83" s="2" t="n">
        <f aca="false">+D82+E82</f>
        <v>85.0999999999999</v>
      </c>
      <c r="E83" s="2" t="n">
        <f aca="false">PRECOZ!C70</f>
        <v>0.6</v>
      </c>
      <c r="F83" s="69" t="n">
        <f aca="false">IF(A83&lt;=5,'VARIABLES MODELO'!$B$13,IF(A83&lt;=15,'VARIABLES MODELO'!$B$14,IF(A83&lt;=50,'VARIABLES MODELO'!$B$15,IF(A83&lt;=80,'VARIABLES MODELO'!$B$16,IF(A83&lt;=120,'VARIABLES MODELO'!$B$17,'VARIABLES MODELO'!$B$18)))))</f>
        <v>0.03</v>
      </c>
      <c r="G83" s="3" t="n">
        <f aca="false">D83*F83</f>
        <v>2.553</v>
      </c>
      <c r="H83" s="70"/>
      <c r="I83" s="3" t="n">
        <f aca="false">IF(H83="",G83,H83)</f>
        <v>2.553</v>
      </c>
      <c r="J83" s="71" t="n">
        <f aca="false">IF(A83&lt;=15,'VARIABLES MODELO'!$B$8,'VARIABLES MODELO'!$B$10)</f>
        <v>509.36</v>
      </c>
      <c r="K83" s="71" t="n">
        <f aca="false">I83*J83</f>
        <v>1300.39608</v>
      </c>
      <c r="L83" s="71" t="n">
        <f aca="false">SUM($K$4:K83)</f>
        <v>90420.3442459999</v>
      </c>
      <c r="M83" s="2" t="n">
        <f aca="false">MROUND(I83*'VARIABLES MODELO'!$B$5,30)</f>
        <v>90</v>
      </c>
      <c r="N83" s="2" t="n">
        <f aca="false">IF(A83&lt;=15,MROUND(M83/'VARIABLES MODELO'!$B$11,0.5),MROUND(M83/'VARIABLES MODELO'!$B$12,0.5))</f>
        <v>3</v>
      </c>
      <c r="O83" s="2" t="n">
        <f aca="false">IF(A83&lt;=15,SUM($M$4:M83)/'VARIABLES MODELO'!$B$11,SUM($M$19:M83)/'VARIABLES MODELO'!$B$12)</f>
        <v>146</v>
      </c>
    </row>
    <row r="84" customFormat="false" ht="14.25" hidden="false" customHeight="false" outlineLevel="0" collapsed="false">
      <c r="A84" s="0" t="n">
        <v>81</v>
      </c>
      <c r="B84" s="68" t="n">
        <f aca="false">'VARIABLES MODELO'!$B$4+A84-1</f>
        <v>46365</v>
      </c>
      <c r="C84" s="0" t="str">
        <f aca="false">IF(A84&lt;=15,"Hiper-Precoz 23%","Precoz 19%")</f>
        <v>Precoz 19%</v>
      </c>
      <c r="D84" s="2" t="n">
        <f aca="false">+D83+E83</f>
        <v>85.6999999999999</v>
      </c>
      <c r="E84" s="2" t="n">
        <f aca="false">PRECOZ!C71</f>
        <v>0.6</v>
      </c>
      <c r="F84" s="69" t="n">
        <f aca="false">IF(A84&lt;=5,'VARIABLES MODELO'!$B$13,IF(A84&lt;=15,'VARIABLES MODELO'!$B$14,IF(A84&lt;=50,'VARIABLES MODELO'!$B$15,IF(A84&lt;=80,'VARIABLES MODELO'!$B$16,IF(A84&lt;=120,'VARIABLES MODELO'!$B$17,'VARIABLES MODELO'!$B$18)))))</f>
        <v>0.028</v>
      </c>
      <c r="G84" s="3" t="n">
        <f aca="false">D84*F84</f>
        <v>2.3996</v>
      </c>
      <c r="H84" s="70"/>
      <c r="I84" s="3" t="n">
        <f aca="false">IF(H84="",G84,H84)</f>
        <v>2.3996</v>
      </c>
      <c r="J84" s="71" t="n">
        <f aca="false">IF(A84&lt;=15,'VARIABLES MODELO'!$B$8,'VARIABLES MODELO'!$B$10)</f>
        <v>509.36</v>
      </c>
      <c r="K84" s="71" t="n">
        <f aca="false">I84*J84</f>
        <v>1222.260256</v>
      </c>
      <c r="L84" s="71" t="n">
        <f aca="false">SUM($K$4:K84)</f>
        <v>91642.6045019999</v>
      </c>
      <c r="M84" s="2" t="n">
        <f aca="false">MROUND(I84*'VARIABLES MODELO'!$B$5,30)</f>
        <v>90</v>
      </c>
      <c r="N84" s="2" t="n">
        <f aca="false">IF(A84&lt;=15,MROUND(M84/'VARIABLES MODELO'!$B$11,0.5),MROUND(M84/'VARIABLES MODELO'!$B$12,0.5))</f>
        <v>3</v>
      </c>
      <c r="O84" s="2" t="n">
        <f aca="false">IF(A84&lt;=15,SUM($M$4:M84)/'VARIABLES MODELO'!$B$11,SUM($M$19:M84)/'VARIABLES MODELO'!$B$12)</f>
        <v>149</v>
      </c>
    </row>
    <row r="85" customFormat="false" ht="14.25" hidden="false" customHeight="false" outlineLevel="0" collapsed="false">
      <c r="A85" s="0" t="n">
        <v>82</v>
      </c>
      <c r="B85" s="68" t="n">
        <f aca="false">'VARIABLES MODELO'!$B$4+A85-1</f>
        <v>46366</v>
      </c>
      <c r="C85" s="0" t="str">
        <f aca="false">IF(A85&lt;=15,"Hiper-Precoz 23%","Precoz 19%")</f>
        <v>Precoz 19%</v>
      </c>
      <c r="D85" s="2" t="n">
        <f aca="false">+D84+E84</f>
        <v>86.2999999999999</v>
      </c>
      <c r="E85" s="2" t="n">
        <f aca="false">PRECOZ!C72</f>
        <v>0.6</v>
      </c>
      <c r="F85" s="69" t="n">
        <f aca="false">IF(A85&lt;=5,'VARIABLES MODELO'!$B$13,IF(A85&lt;=15,'VARIABLES MODELO'!$B$14,IF(A85&lt;=50,'VARIABLES MODELO'!$B$15,IF(A85&lt;=80,'VARIABLES MODELO'!$B$16,IF(A85&lt;=120,'VARIABLES MODELO'!$B$17,'VARIABLES MODELO'!$B$18)))))</f>
        <v>0.028</v>
      </c>
      <c r="G85" s="3" t="n">
        <f aca="false">D85*F85</f>
        <v>2.4164</v>
      </c>
      <c r="H85" s="70"/>
      <c r="I85" s="3" t="n">
        <f aca="false">IF(H85="",G85,H85)</f>
        <v>2.4164</v>
      </c>
      <c r="J85" s="71" t="n">
        <f aca="false">IF(A85&lt;=15,'VARIABLES MODELO'!$B$8,'VARIABLES MODELO'!$B$10)</f>
        <v>509.36</v>
      </c>
      <c r="K85" s="71" t="n">
        <f aca="false">I85*J85</f>
        <v>1230.817504</v>
      </c>
      <c r="L85" s="71" t="n">
        <f aca="false">SUM($K$4:K85)</f>
        <v>92873.4220059999</v>
      </c>
      <c r="M85" s="2" t="n">
        <f aca="false">MROUND(I85*'VARIABLES MODELO'!$B$5,30)</f>
        <v>90</v>
      </c>
      <c r="N85" s="2" t="n">
        <f aca="false">IF(A85&lt;=15,MROUND(M85/'VARIABLES MODELO'!$B$11,0.5),MROUND(M85/'VARIABLES MODELO'!$B$12,0.5))</f>
        <v>3</v>
      </c>
      <c r="O85" s="2" t="n">
        <f aca="false">IF(A85&lt;=15,SUM($M$4:M85)/'VARIABLES MODELO'!$B$11,SUM($M$19:M85)/'VARIABLES MODELO'!$B$12)</f>
        <v>152</v>
      </c>
    </row>
    <row r="86" customFormat="false" ht="14.25" hidden="false" customHeight="false" outlineLevel="0" collapsed="false">
      <c r="A86" s="0" t="n">
        <v>83</v>
      </c>
      <c r="B86" s="68" t="n">
        <f aca="false">'VARIABLES MODELO'!$B$4+A86-1</f>
        <v>46367</v>
      </c>
      <c r="C86" s="0" t="str">
        <f aca="false">IF(A86&lt;=15,"Hiper-Precoz 23%","Precoz 19%")</f>
        <v>Precoz 19%</v>
      </c>
      <c r="D86" s="2" t="n">
        <f aca="false">+D85+E85</f>
        <v>86.8999999999999</v>
      </c>
      <c r="E86" s="2" t="n">
        <f aca="false">PRECOZ!C73</f>
        <v>0.6</v>
      </c>
      <c r="F86" s="69" t="n">
        <f aca="false">IF(A86&lt;=5,'VARIABLES MODELO'!$B$13,IF(A86&lt;=15,'VARIABLES MODELO'!$B$14,IF(A86&lt;=50,'VARIABLES MODELO'!$B$15,IF(A86&lt;=80,'VARIABLES MODELO'!$B$16,IF(A86&lt;=120,'VARIABLES MODELO'!$B$17,'VARIABLES MODELO'!$B$18)))))</f>
        <v>0.028</v>
      </c>
      <c r="G86" s="3" t="n">
        <f aca="false">D86*F86</f>
        <v>2.4332</v>
      </c>
      <c r="H86" s="70"/>
      <c r="I86" s="3" t="n">
        <f aca="false">IF(H86="",G86,H86)</f>
        <v>2.4332</v>
      </c>
      <c r="J86" s="71" t="n">
        <f aca="false">IF(A86&lt;=15,'VARIABLES MODELO'!$B$8,'VARIABLES MODELO'!$B$10)</f>
        <v>509.36</v>
      </c>
      <c r="K86" s="71" t="n">
        <f aca="false">I86*J86</f>
        <v>1239.374752</v>
      </c>
      <c r="L86" s="71" t="n">
        <f aca="false">SUM($K$4:K86)</f>
        <v>94112.7967579999</v>
      </c>
      <c r="M86" s="2" t="n">
        <f aca="false">MROUND(I86*'VARIABLES MODELO'!$B$5,30)</f>
        <v>90</v>
      </c>
      <c r="N86" s="2" t="n">
        <f aca="false">IF(A86&lt;=15,MROUND(M86/'VARIABLES MODELO'!$B$11,0.5),MROUND(M86/'VARIABLES MODELO'!$B$12,0.5))</f>
        <v>3</v>
      </c>
      <c r="O86" s="2" t="n">
        <f aca="false">IF(A86&lt;=15,SUM($M$4:M86)/'VARIABLES MODELO'!$B$11,SUM($M$19:M86)/'VARIABLES MODELO'!$B$12)</f>
        <v>155</v>
      </c>
    </row>
    <row r="87" customFormat="false" ht="14.25" hidden="false" customHeight="false" outlineLevel="0" collapsed="false">
      <c r="A87" s="0" t="n">
        <v>84</v>
      </c>
      <c r="B87" s="68" t="n">
        <f aca="false">'VARIABLES MODELO'!$B$4+A87-1</f>
        <v>46368</v>
      </c>
      <c r="C87" s="0" t="str">
        <f aca="false">IF(A87&lt;=15,"Hiper-Precoz 23%","Precoz 19%")</f>
        <v>Precoz 19%</v>
      </c>
      <c r="D87" s="2" t="n">
        <f aca="false">+D86+E86</f>
        <v>87.4999999999998</v>
      </c>
      <c r="E87" s="2" t="n">
        <f aca="false">PRECOZ!C74</f>
        <v>0.6</v>
      </c>
      <c r="F87" s="69" t="n">
        <f aca="false">IF(A87&lt;=5,'VARIABLES MODELO'!$B$13,IF(A87&lt;=15,'VARIABLES MODELO'!$B$14,IF(A87&lt;=50,'VARIABLES MODELO'!$B$15,IF(A87&lt;=80,'VARIABLES MODELO'!$B$16,IF(A87&lt;=120,'VARIABLES MODELO'!$B$17,'VARIABLES MODELO'!$B$18)))))</f>
        <v>0.028</v>
      </c>
      <c r="G87" s="3" t="n">
        <f aca="false">D87*F87</f>
        <v>2.45</v>
      </c>
      <c r="H87" s="70"/>
      <c r="I87" s="3" t="n">
        <f aca="false">IF(H87="",G87,H87)</f>
        <v>2.45</v>
      </c>
      <c r="J87" s="71" t="n">
        <f aca="false">IF(A87&lt;=15,'VARIABLES MODELO'!$B$8,'VARIABLES MODELO'!$B$10)</f>
        <v>509.36</v>
      </c>
      <c r="K87" s="71" t="n">
        <f aca="false">I87*J87</f>
        <v>1247.932</v>
      </c>
      <c r="L87" s="71" t="n">
        <f aca="false">SUM($K$4:K87)</f>
        <v>95360.7287579999</v>
      </c>
      <c r="M87" s="2" t="n">
        <f aca="false">MROUND(I87*'VARIABLES MODELO'!$B$5,30)</f>
        <v>90</v>
      </c>
      <c r="N87" s="2" t="n">
        <f aca="false">IF(A87&lt;=15,MROUND(M87/'VARIABLES MODELO'!$B$11,0.5),MROUND(M87/'VARIABLES MODELO'!$B$12,0.5))</f>
        <v>3</v>
      </c>
      <c r="O87" s="2" t="n">
        <f aca="false">IF(A87&lt;=15,SUM($M$4:M87)/'VARIABLES MODELO'!$B$11,SUM($M$19:M87)/'VARIABLES MODELO'!$B$12)</f>
        <v>158</v>
      </c>
    </row>
    <row r="88" customFormat="false" ht="14.25" hidden="false" customHeight="false" outlineLevel="0" collapsed="false">
      <c r="A88" s="0" t="n">
        <v>85</v>
      </c>
      <c r="B88" s="68" t="n">
        <f aca="false">'VARIABLES MODELO'!$B$4+A88-1</f>
        <v>46369</v>
      </c>
      <c r="C88" s="0" t="str">
        <f aca="false">IF(A88&lt;=15,"Hiper-Precoz 23%","Precoz 19%")</f>
        <v>Precoz 19%</v>
      </c>
      <c r="D88" s="2" t="n">
        <f aca="false">+D87+E87</f>
        <v>88.0999999999998</v>
      </c>
      <c r="E88" s="2" t="n">
        <f aca="false">PRECOZ!C75</f>
        <v>0.6</v>
      </c>
      <c r="F88" s="69" t="n">
        <f aca="false">IF(A88&lt;=5,'VARIABLES MODELO'!$B$13,IF(A88&lt;=15,'VARIABLES MODELO'!$B$14,IF(A88&lt;=50,'VARIABLES MODELO'!$B$15,IF(A88&lt;=80,'VARIABLES MODELO'!$B$16,IF(A88&lt;=120,'VARIABLES MODELO'!$B$17,'VARIABLES MODELO'!$B$18)))))</f>
        <v>0.028</v>
      </c>
      <c r="G88" s="3" t="n">
        <f aca="false">D88*F88</f>
        <v>2.4668</v>
      </c>
      <c r="H88" s="70"/>
      <c r="I88" s="3" t="n">
        <f aca="false">IF(H88="",G88,H88)</f>
        <v>2.4668</v>
      </c>
      <c r="J88" s="71" t="n">
        <f aca="false">IF(A88&lt;=15,'VARIABLES MODELO'!$B$8,'VARIABLES MODELO'!$B$10)</f>
        <v>509.36</v>
      </c>
      <c r="K88" s="71" t="n">
        <f aca="false">I88*J88</f>
        <v>1256.489248</v>
      </c>
      <c r="L88" s="71" t="n">
        <f aca="false">SUM($K$4:K88)</f>
        <v>96617.2180059999</v>
      </c>
      <c r="M88" s="2" t="n">
        <f aca="false">MROUND(I88*'VARIABLES MODELO'!$B$5,30)</f>
        <v>90</v>
      </c>
      <c r="N88" s="2" t="n">
        <f aca="false">IF(A88&lt;=15,MROUND(M88/'VARIABLES MODELO'!$B$11,0.5),MROUND(M88/'VARIABLES MODELO'!$B$12,0.5))</f>
        <v>3</v>
      </c>
      <c r="O88" s="2" t="n">
        <f aca="false">IF(A88&lt;=15,SUM($M$4:M88)/'VARIABLES MODELO'!$B$11,SUM($M$19:M88)/'VARIABLES MODELO'!$B$12)</f>
        <v>161</v>
      </c>
    </row>
    <row r="89" customFormat="false" ht="14.25" hidden="false" customHeight="false" outlineLevel="0" collapsed="false">
      <c r="A89" s="0" t="n">
        <v>86</v>
      </c>
      <c r="B89" s="68" t="n">
        <f aca="false">'VARIABLES MODELO'!$B$4+A89-1</f>
        <v>46370</v>
      </c>
      <c r="C89" s="0" t="str">
        <f aca="false">IF(A89&lt;=15,"Hiper-Precoz 23%","Precoz 19%")</f>
        <v>Precoz 19%</v>
      </c>
      <c r="D89" s="2" t="n">
        <f aca="false">+D88+E88</f>
        <v>88.6999999999998</v>
      </c>
      <c r="E89" s="2" t="n">
        <f aca="false">PRECOZ!C76</f>
        <v>0.6</v>
      </c>
      <c r="F89" s="69" t="n">
        <f aca="false">IF(A89&lt;=5,'VARIABLES MODELO'!$B$13,IF(A89&lt;=15,'VARIABLES MODELO'!$B$14,IF(A89&lt;=50,'VARIABLES MODELO'!$B$15,IF(A89&lt;=80,'VARIABLES MODELO'!$B$16,IF(A89&lt;=120,'VARIABLES MODELO'!$B$17,'VARIABLES MODELO'!$B$18)))))</f>
        <v>0.028</v>
      </c>
      <c r="G89" s="3" t="n">
        <f aca="false">D89*F89</f>
        <v>2.4836</v>
      </c>
      <c r="H89" s="70"/>
      <c r="I89" s="3" t="n">
        <f aca="false">IF(H89="",G89,H89)</f>
        <v>2.4836</v>
      </c>
      <c r="J89" s="71" t="n">
        <f aca="false">IF(A89&lt;=15,'VARIABLES MODELO'!$B$8,'VARIABLES MODELO'!$B$10)</f>
        <v>509.36</v>
      </c>
      <c r="K89" s="71" t="n">
        <f aca="false">I89*J89</f>
        <v>1265.046496</v>
      </c>
      <c r="L89" s="71" t="n">
        <f aca="false">SUM($K$4:K89)</f>
        <v>97882.2645019999</v>
      </c>
      <c r="M89" s="2" t="n">
        <f aca="false">MROUND(I89*'VARIABLES MODELO'!$B$5,30)</f>
        <v>90</v>
      </c>
      <c r="N89" s="2" t="n">
        <f aca="false">IF(A89&lt;=15,MROUND(M89/'VARIABLES MODELO'!$B$11,0.5),MROUND(M89/'VARIABLES MODELO'!$B$12,0.5))</f>
        <v>3</v>
      </c>
      <c r="O89" s="2" t="n">
        <f aca="false">IF(A89&lt;=15,SUM($M$4:M89)/'VARIABLES MODELO'!$B$11,SUM($M$19:M89)/'VARIABLES MODELO'!$B$12)</f>
        <v>164</v>
      </c>
    </row>
    <row r="90" customFormat="false" ht="14.25" hidden="false" customHeight="false" outlineLevel="0" collapsed="false">
      <c r="A90" s="0" t="n">
        <v>87</v>
      </c>
      <c r="B90" s="68" t="n">
        <f aca="false">'VARIABLES MODELO'!$B$4+A90-1</f>
        <v>46371</v>
      </c>
      <c r="C90" s="0" t="str">
        <f aca="false">IF(A90&lt;=15,"Hiper-Precoz 23%","Precoz 19%")</f>
        <v>Precoz 19%</v>
      </c>
      <c r="D90" s="2" t="n">
        <f aca="false">+D89+E89</f>
        <v>89.2999999999998</v>
      </c>
      <c r="E90" s="2" t="n">
        <f aca="false">PRECOZ!C77</f>
        <v>0.65</v>
      </c>
      <c r="F90" s="69" t="n">
        <f aca="false">IF(A90&lt;=5,'VARIABLES MODELO'!$B$13,IF(A90&lt;=15,'VARIABLES MODELO'!$B$14,IF(A90&lt;=50,'VARIABLES MODELO'!$B$15,IF(A90&lt;=80,'VARIABLES MODELO'!$B$16,IF(A90&lt;=120,'VARIABLES MODELO'!$B$17,'VARIABLES MODELO'!$B$18)))))</f>
        <v>0.028</v>
      </c>
      <c r="G90" s="3" t="n">
        <f aca="false">D90*F90</f>
        <v>2.50039999999999</v>
      </c>
      <c r="H90" s="70"/>
      <c r="I90" s="3" t="n">
        <f aca="false">IF(H90="",G90,H90)</f>
        <v>2.50039999999999</v>
      </c>
      <c r="J90" s="71" t="n">
        <f aca="false">IF(A90&lt;=15,'VARIABLES MODELO'!$B$8,'VARIABLES MODELO'!$B$10)</f>
        <v>509.36</v>
      </c>
      <c r="K90" s="71" t="n">
        <f aca="false">I90*J90</f>
        <v>1273.603744</v>
      </c>
      <c r="L90" s="71" t="n">
        <f aca="false">SUM($K$4:K90)</f>
        <v>99155.8682459999</v>
      </c>
      <c r="M90" s="2" t="n">
        <f aca="false">MROUND(I90*'VARIABLES MODELO'!$B$5,30)</f>
        <v>90</v>
      </c>
      <c r="N90" s="2" t="n">
        <f aca="false">IF(A90&lt;=15,MROUND(M90/'VARIABLES MODELO'!$B$11,0.5),MROUND(M90/'VARIABLES MODELO'!$B$12,0.5))</f>
        <v>3</v>
      </c>
      <c r="O90" s="2" t="n">
        <f aca="false">IF(A90&lt;=15,SUM($M$4:M90)/'VARIABLES MODELO'!$B$11,SUM($M$19:M90)/'VARIABLES MODELO'!$B$12)</f>
        <v>167</v>
      </c>
    </row>
    <row r="91" customFormat="false" ht="14.25" hidden="false" customHeight="false" outlineLevel="0" collapsed="false">
      <c r="A91" s="0" t="n">
        <v>88</v>
      </c>
      <c r="B91" s="68" t="n">
        <f aca="false">'VARIABLES MODELO'!$B$4+A91-1</f>
        <v>46372</v>
      </c>
      <c r="C91" s="0" t="str">
        <f aca="false">IF(A91&lt;=15,"Hiper-Precoz 23%","Precoz 19%")</f>
        <v>Precoz 19%</v>
      </c>
      <c r="D91" s="2" t="n">
        <f aca="false">+D90+E90</f>
        <v>89.9499999999998</v>
      </c>
      <c r="E91" s="2" t="n">
        <f aca="false">PRECOZ!C78</f>
        <v>0.65</v>
      </c>
      <c r="F91" s="69" t="n">
        <f aca="false">IF(A91&lt;=5,'VARIABLES MODELO'!$B$13,IF(A91&lt;=15,'VARIABLES MODELO'!$B$14,IF(A91&lt;=50,'VARIABLES MODELO'!$B$15,IF(A91&lt;=80,'VARIABLES MODELO'!$B$16,IF(A91&lt;=120,'VARIABLES MODELO'!$B$17,'VARIABLES MODELO'!$B$18)))))</f>
        <v>0.028</v>
      </c>
      <c r="G91" s="3" t="n">
        <f aca="false">D91*F91</f>
        <v>2.5186</v>
      </c>
      <c r="H91" s="70"/>
      <c r="I91" s="3" t="n">
        <f aca="false">IF(H91="",G91,H91)</f>
        <v>2.5186</v>
      </c>
      <c r="J91" s="71" t="n">
        <f aca="false">IF(A91&lt;=15,'VARIABLES MODELO'!$B$8,'VARIABLES MODELO'!$B$10)</f>
        <v>509.36</v>
      </c>
      <c r="K91" s="71" t="n">
        <f aca="false">I91*J91</f>
        <v>1282.874096</v>
      </c>
      <c r="L91" s="71" t="n">
        <f aca="false">SUM($K$4:K91)</f>
        <v>100438.742342</v>
      </c>
      <c r="M91" s="2" t="n">
        <f aca="false">MROUND(I91*'VARIABLES MODELO'!$B$5,30)</f>
        <v>90</v>
      </c>
      <c r="N91" s="2" t="n">
        <f aca="false">IF(A91&lt;=15,MROUND(M91/'VARIABLES MODELO'!$B$11,0.5),MROUND(M91/'VARIABLES MODELO'!$B$12,0.5))</f>
        <v>3</v>
      </c>
      <c r="O91" s="2" t="n">
        <f aca="false">IF(A91&lt;=15,SUM($M$4:M91)/'VARIABLES MODELO'!$B$11,SUM($M$19:M91)/'VARIABLES MODELO'!$B$12)</f>
        <v>170</v>
      </c>
    </row>
    <row r="92" customFormat="false" ht="14.25" hidden="false" customHeight="false" outlineLevel="0" collapsed="false">
      <c r="A92" s="0" t="n">
        <v>89</v>
      </c>
      <c r="B92" s="68" t="n">
        <f aca="false">'VARIABLES MODELO'!$B$4+A92-1</f>
        <v>46373</v>
      </c>
      <c r="C92" s="0" t="str">
        <f aca="false">IF(A92&lt;=15,"Hiper-Precoz 23%","Precoz 19%")</f>
        <v>Precoz 19%</v>
      </c>
      <c r="D92" s="2" t="n">
        <f aca="false">+D91+E91</f>
        <v>90.5999999999998</v>
      </c>
      <c r="E92" s="2" t="n">
        <f aca="false">PRECOZ!C79</f>
        <v>0.65</v>
      </c>
      <c r="F92" s="69" t="n">
        <f aca="false">IF(A92&lt;=5,'VARIABLES MODELO'!$B$13,IF(A92&lt;=15,'VARIABLES MODELO'!$B$14,IF(A92&lt;=50,'VARIABLES MODELO'!$B$15,IF(A92&lt;=80,'VARIABLES MODELO'!$B$16,IF(A92&lt;=120,'VARIABLES MODELO'!$B$17,'VARIABLES MODELO'!$B$18)))))</f>
        <v>0.028</v>
      </c>
      <c r="G92" s="3" t="n">
        <f aca="false">D92*F92</f>
        <v>2.5368</v>
      </c>
      <c r="H92" s="70"/>
      <c r="I92" s="3" t="n">
        <f aca="false">IF(H92="",G92,H92)</f>
        <v>2.5368</v>
      </c>
      <c r="J92" s="71" t="n">
        <f aca="false">IF(A92&lt;=15,'VARIABLES MODELO'!$B$8,'VARIABLES MODELO'!$B$10)</f>
        <v>509.36</v>
      </c>
      <c r="K92" s="71" t="n">
        <f aca="false">I92*J92</f>
        <v>1292.144448</v>
      </c>
      <c r="L92" s="71" t="n">
        <f aca="false">SUM($K$4:K92)</f>
        <v>101730.88679</v>
      </c>
      <c r="M92" s="2" t="n">
        <f aca="false">MROUND(I92*'VARIABLES MODELO'!$B$5,30)</f>
        <v>90</v>
      </c>
      <c r="N92" s="2" t="n">
        <f aca="false">IF(A92&lt;=15,MROUND(M92/'VARIABLES MODELO'!$B$11,0.5),MROUND(M92/'VARIABLES MODELO'!$B$12,0.5))</f>
        <v>3</v>
      </c>
      <c r="O92" s="2" t="n">
        <f aca="false">IF(A92&lt;=15,SUM($M$4:M92)/'VARIABLES MODELO'!$B$11,SUM($M$19:M92)/'VARIABLES MODELO'!$B$12)</f>
        <v>173</v>
      </c>
    </row>
    <row r="93" customFormat="false" ht="14.25" hidden="false" customHeight="false" outlineLevel="0" collapsed="false">
      <c r="A93" s="0" t="n">
        <v>90</v>
      </c>
      <c r="B93" s="68" t="n">
        <f aca="false">'VARIABLES MODELO'!$B$4+A93-1</f>
        <v>46374</v>
      </c>
      <c r="C93" s="0" t="str">
        <f aca="false">IF(A93&lt;=15,"Hiper-Precoz 23%","Precoz 19%")</f>
        <v>Precoz 19%</v>
      </c>
      <c r="D93" s="2" t="n">
        <f aca="false">+D92+E92</f>
        <v>91.2499999999998</v>
      </c>
      <c r="E93" s="2" t="n">
        <f aca="false">PRECOZ!C80</f>
        <v>0.65</v>
      </c>
      <c r="F93" s="69" t="n">
        <f aca="false">IF(A93&lt;=5,'VARIABLES MODELO'!$B$13,IF(A93&lt;=15,'VARIABLES MODELO'!$B$14,IF(A93&lt;=50,'VARIABLES MODELO'!$B$15,IF(A93&lt;=80,'VARIABLES MODELO'!$B$16,IF(A93&lt;=120,'VARIABLES MODELO'!$B$17,'VARIABLES MODELO'!$B$18)))))</f>
        <v>0.028</v>
      </c>
      <c r="G93" s="3" t="n">
        <f aca="false">D93*F93</f>
        <v>2.555</v>
      </c>
      <c r="H93" s="70"/>
      <c r="I93" s="3" t="n">
        <f aca="false">IF(H93="",G93,H93)</f>
        <v>2.555</v>
      </c>
      <c r="J93" s="71" t="n">
        <f aca="false">IF(A93&lt;=15,'VARIABLES MODELO'!$B$8,'VARIABLES MODELO'!$B$10)</f>
        <v>509.36</v>
      </c>
      <c r="K93" s="71" t="n">
        <f aca="false">I93*J93</f>
        <v>1301.4148</v>
      </c>
      <c r="L93" s="71" t="n">
        <f aca="false">SUM($K$4:K93)</f>
        <v>103032.30159</v>
      </c>
      <c r="M93" s="2" t="n">
        <f aca="false">MROUND(I93*'VARIABLES MODELO'!$B$5,30)</f>
        <v>90</v>
      </c>
      <c r="N93" s="2" t="n">
        <f aca="false">IF(A93&lt;=15,MROUND(M93/'VARIABLES MODELO'!$B$11,0.5),MROUND(M93/'VARIABLES MODELO'!$B$12,0.5))</f>
        <v>3</v>
      </c>
      <c r="O93" s="2" t="n">
        <f aca="false">IF(A93&lt;=15,SUM($M$4:M93)/'VARIABLES MODELO'!$B$11,SUM($M$19:M93)/'VARIABLES MODELO'!$B$12)</f>
        <v>176</v>
      </c>
    </row>
    <row r="94" customFormat="false" ht="14.25" hidden="false" customHeight="false" outlineLevel="0" collapsed="false">
      <c r="A94" s="0" t="n">
        <v>91</v>
      </c>
      <c r="B94" s="68" t="n">
        <f aca="false">'VARIABLES MODELO'!$B$4+A94-1</f>
        <v>46375</v>
      </c>
      <c r="C94" s="0" t="str">
        <f aca="false">IF(A94&lt;=15,"Hiper-Precoz 23%","Precoz 19%")</f>
        <v>Precoz 19%</v>
      </c>
      <c r="D94" s="2" t="n">
        <f aca="false">+D93+E93</f>
        <v>91.8999999999999</v>
      </c>
      <c r="E94" s="2" t="n">
        <f aca="false">PRECOZ!C81</f>
        <v>0.65</v>
      </c>
      <c r="F94" s="69" t="n">
        <f aca="false">IF(A94&lt;=5,'VARIABLES MODELO'!$B$13,IF(A94&lt;=15,'VARIABLES MODELO'!$B$14,IF(A94&lt;=50,'VARIABLES MODELO'!$B$15,IF(A94&lt;=80,'VARIABLES MODELO'!$B$16,IF(A94&lt;=120,'VARIABLES MODELO'!$B$17,'VARIABLES MODELO'!$B$18)))))</f>
        <v>0.028</v>
      </c>
      <c r="G94" s="3" t="n">
        <f aca="false">D94*F94</f>
        <v>2.5732</v>
      </c>
      <c r="H94" s="70"/>
      <c r="I94" s="3" t="n">
        <f aca="false">IF(H94="",G94,H94)</f>
        <v>2.5732</v>
      </c>
      <c r="J94" s="71" t="n">
        <f aca="false">IF(A94&lt;=15,'VARIABLES MODELO'!$B$8,'VARIABLES MODELO'!$B$10)</f>
        <v>509.36</v>
      </c>
      <c r="K94" s="71" t="n">
        <f aca="false">I94*J94</f>
        <v>1310.685152</v>
      </c>
      <c r="L94" s="71" t="n">
        <f aca="false">SUM($K$4:K94)</f>
        <v>104342.986742</v>
      </c>
      <c r="M94" s="2" t="n">
        <f aca="false">MROUND(I94*'VARIABLES MODELO'!$B$5,30)</f>
        <v>90</v>
      </c>
      <c r="N94" s="2" t="n">
        <f aca="false">IF(A94&lt;=15,MROUND(M94/'VARIABLES MODELO'!$B$11,0.5),MROUND(M94/'VARIABLES MODELO'!$B$12,0.5))</f>
        <v>3</v>
      </c>
      <c r="O94" s="2" t="n">
        <f aca="false">IF(A94&lt;=15,SUM($M$4:M94)/'VARIABLES MODELO'!$B$11,SUM($M$19:M94)/'VARIABLES MODELO'!$B$12)</f>
        <v>179</v>
      </c>
    </row>
    <row r="95" customFormat="false" ht="14.25" hidden="false" customHeight="false" outlineLevel="0" collapsed="false">
      <c r="A95" s="0" t="n">
        <v>92</v>
      </c>
      <c r="B95" s="68" t="n">
        <f aca="false">'VARIABLES MODELO'!$B$4+A95-1</f>
        <v>46376</v>
      </c>
      <c r="C95" s="0" t="str">
        <f aca="false">IF(A95&lt;=15,"Hiper-Precoz 23%","Precoz 19%")</f>
        <v>Precoz 19%</v>
      </c>
      <c r="D95" s="2" t="n">
        <f aca="false">+D94+E94</f>
        <v>92.5499999999999</v>
      </c>
      <c r="E95" s="2" t="n">
        <f aca="false">PRECOZ!C82</f>
        <v>0.65</v>
      </c>
      <c r="F95" s="69" t="n">
        <f aca="false">IF(A95&lt;=5,'VARIABLES MODELO'!$B$13,IF(A95&lt;=15,'VARIABLES MODELO'!$B$14,IF(A95&lt;=50,'VARIABLES MODELO'!$B$15,IF(A95&lt;=80,'VARIABLES MODELO'!$B$16,IF(A95&lt;=120,'VARIABLES MODELO'!$B$17,'VARIABLES MODELO'!$B$18)))))</f>
        <v>0.028</v>
      </c>
      <c r="G95" s="3" t="n">
        <f aca="false">D95*F95</f>
        <v>2.5914</v>
      </c>
      <c r="H95" s="70"/>
      <c r="I95" s="3" t="n">
        <f aca="false">IF(H95="",G95,H95)</f>
        <v>2.5914</v>
      </c>
      <c r="J95" s="71" t="n">
        <f aca="false">IF(A95&lt;=15,'VARIABLES MODELO'!$B$8,'VARIABLES MODELO'!$B$10)</f>
        <v>509.36</v>
      </c>
      <c r="K95" s="71" t="n">
        <f aca="false">I95*J95</f>
        <v>1319.955504</v>
      </c>
      <c r="L95" s="71" t="n">
        <f aca="false">SUM($K$4:K95)</f>
        <v>105662.942246</v>
      </c>
      <c r="M95" s="2" t="n">
        <f aca="false">MROUND(I95*'VARIABLES MODELO'!$B$5,30)</f>
        <v>90</v>
      </c>
      <c r="N95" s="2" t="n">
        <f aca="false">IF(A95&lt;=15,MROUND(M95/'VARIABLES MODELO'!$B$11,0.5),MROUND(M95/'VARIABLES MODELO'!$B$12,0.5))</f>
        <v>3</v>
      </c>
      <c r="O95" s="2" t="n">
        <f aca="false">IF(A95&lt;=15,SUM($M$4:M95)/'VARIABLES MODELO'!$B$11,SUM($M$19:M95)/'VARIABLES MODELO'!$B$12)</f>
        <v>182</v>
      </c>
    </row>
    <row r="96" customFormat="false" ht="14.25" hidden="false" customHeight="false" outlineLevel="0" collapsed="false">
      <c r="A96" s="0" t="n">
        <v>93</v>
      </c>
      <c r="B96" s="68" t="n">
        <f aca="false">'VARIABLES MODELO'!$B$4+A96-1</f>
        <v>46377</v>
      </c>
      <c r="C96" s="0" t="str">
        <f aca="false">IF(A96&lt;=15,"Hiper-Precoz 23%","Precoz 19%")</f>
        <v>Precoz 19%</v>
      </c>
      <c r="D96" s="2" t="n">
        <f aca="false">+D95+E95</f>
        <v>93.1999999999999</v>
      </c>
      <c r="E96" s="2" t="n">
        <f aca="false">PRECOZ!C83</f>
        <v>0.65</v>
      </c>
      <c r="F96" s="69" t="n">
        <f aca="false">IF(A96&lt;=5,'VARIABLES MODELO'!$B$13,IF(A96&lt;=15,'VARIABLES MODELO'!$B$14,IF(A96&lt;=50,'VARIABLES MODELO'!$B$15,IF(A96&lt;=80,'VARIABLES MODELO'!$B$16,IF(A96&lt;=120,'VARIABLES MODELO'!$B$17,'VARIABLES MODELO'!$B$18)))))</f>
        <v>0.028</v>
      </c>
      <c r="G96" s="3" t="n">
        <f aca="false">D96*F96</f>
        <v>2.6096</v>
      </c>
      <c r="H96" s="70"/>
      <c r="I96" s="3" t="n">
        <f aca="false">IF(H96="",G96,H96)</f>
        <v>2.6096</v>
      </c>
      <c r="J96" s="71" t="n">
        <f aca="false">IF(A96&lt;=15,'VARIABLES MODELO'!$B$8,'VARIABLES MODELO'!$B$10)</f>
        <v>509.36</v>
      </c>
      <c r="K96" s="71" t="n">
        <f aca="false">I96*J96</f>
        <v>1329.225856</v>
      </c>
      <c r="L96" s="71" t="n">
        <f aca="false">SUM($K$4:K96)</f>
        <v>106992.168102</v>
      </c>
      <c r="M96" s="2" t="n">
        <f aca="false">MROUND(I96*'VARIABLES MODELO'!$B$5,30)</f>
        <v>90</v>
      </c>
      <c r="N96" s="2" t="n">
        <f aca="false">IF(A96&lt;=15,MROUND(M96/'VARIABLES MODELO'!$B$11,0.5),MROUND(M96/'VARIABLES MODELO'!$B$12,0.5))</f>
        <v>3</v>
      </c>
      <c r="O96" s="2" t="n">
        <f aca="false">IF(A96&lt;=15,SUM($M$4:M96)/'VARIABLES MODELO'!$B$11,SUM($M$19:M96)/'VARIABLES MODELO'!$B$12)</f>
        <v>185</v>
      </c>
    </row>
    <row r="97" customFormat="false" ht="14.25" hidden="false" customHeight="false" outlineLevel="0" collapsed="false">
      <c r="A97" s="0" t="n">
        <v>94</v>
      </c>
      <c r="B97" s="68" t="n">
        <f aca="false">'VARIABLES MODELO'!$B$4+A97-1</f>
        <v>46378</v>
      </c>
      <c r="C97" s="0" t="str">
        <f aca="false">IF(A97&lt;=15,"Hiper-Precoz 23%","Precoz 19%")</f>
        <v>Precoz 19%</v>
      </c>
      <c r="D97" s="2" t="n">
        <f aca="false">+D96+E96</f>
        <v>93.8499999999999</v>
      </c>
      <c r="E97" s="2" t="n">
        <f aca="false">PRECOZ!C84</f>
        <v>0.65</v>
      </c>
      <c r="F97" s="69" t="n">
        <f aca="false">IF(A97&lt;=5,'VARIABLES MODELO'!$B$13,IF(A97&lt;=15,'VARIABLES MODELO'!$B$14,IF(A97&lt;=50,'VARIABLES MODELO'!$B$15,IF(A97&lt;=80,'VARIABLES MODELO'!$B$16,IF(A97&lt;=120,'VARIABLES MODELO'!$B$17,'VARIABLES MODELO'!$B$18)))))</f>
        <v>0.028</v>
      </c>
      <c r="G97" s="3" t="n">
        <f aca="false">D97*F97</f>
        <v>2.6278</v>
      </c>
      <c r="H97" s="70"/>
      <c r="I97" s="3" t="n">
        <f aca="false">IF(H97="",G97,H97)</f>
        <v>2.6278</v>
      </c>
      <c r="J97" s="71" t="n">
        <f aca="false">IF(A97&lt;=15,'VARIABLES MODELO'!$B$8,'VARIABLES MODELO'!$B$10)</f>
        <v>509.36</v>
      </c>
      <c r="K97" s="71" t="n">
        <f aca="false">I97*J97</f>
        <v>1338.496208</v>
      </c>
      <c r="L97" s="71" t="n">
        <f aca="false">SUM($K$4:K97)</f>
        <v>108330.66431</v>
      </c>
      <c r="M97" s="2" t="n">
        <f aca="false">MROUND(I97*'VARIABLES MODELO'!$B$5,30)</f>
        <v>90</v>
      </c>
      <c r="N97" s="2" t="n">
        <f aca="false">IF(A97&lt;=15,MROUND(M97/'VARIABLES MODELO'!$B$11,0.5),MROUND(M97/'VARIABLES MODELO'!$B$12,0.5))</f>
        <v>3</v>
      </c>
      <c r="O97" s="2" t="n">
        <f aca="false">IF(A97&lt;=15,SUM($M$4:M97)/'VARIABLES MODELO'!$B$11,SUM($M$19:M97)/'VARIABLES MODELO'!$B$12)</f>
        <v>188</v>
      </c>
    </row>
    <row r="98" customFormat="false" ht="14.25" hidden="false" customHeight="false" outlineLevel="0" collapsed="false">
      <c r="A98" s="0" t="n">
        <v>95</v>
      </c>
      <c r="B98" s="68" t="n">
        <f aca="false">'VARIABLES MODELO'!$B$4+A98-1</f>
        <v>46379</v>
      </c>
      <c r="C98" s="0" t="str">
        <f aca="false">IF(A98&lt;=15,"Hiper-Precoz 23%","Precoz 19%")</f>
        <v>Precoz 19%</v>
      </c>
      <c r="D98" s="2" t="n">
        <f aca="false">+D97+E97</f>
        <v>94.4999999999999</v>
      </c>
      <c r="E98" s="2" t="n">
        <f aca="false">PRECOZ!C85</f>
        <v>0.65</v>
      </c>
      <c r="F98" s="69" t="n">
        <f aca="false">IF(A98&lt;=5,'VARIABLES MODELO'!$B$13,IF(A98&lt;=15,'VARIABLES MODELO'!$B$14,IF(A98&lt;=50,'VARIABLES MODELO'!$B$15,IF(A98&lt;=80,'VARIABLES MODELO'!$B$16,IF(A98&lt;=120,'VARIABLES MODELO'!$B$17,'VARIABLES MODELO'!$B$18)))))</f>
        <v>0.028</v>
      </c>
      <c r="G98" s="3" t="n">
        <f aca="false">D98*F98</f>
        <v>2.646</v>
      </c>
      <c r="H98" s="70"/>
      <c r="I98" s="3" t="n">
        <f aca="false">IF(H98="",G98,H98)</f>
        <v>2.646</v>
      </c>
      <c r="J98" s="71" t="n">
        <f aca="false">IF(A98&lt;=15,'VARIABLES MODELO'!$B$8,'VARIABLES MODELO'!$B$10)</f>
        <v>509.36</v>
      </c>
      <c r="K98" s="71" t="n">
        <f aca="false">I98*J98</f>
        <v>1347.76656</v>
      </c>
      <c r="L98" s="71" t="n">
        <f aca="false">SUM($K$4:K98)</f>
        <v>109678.43087</v>
      </c>
      <c r="M98" s="2" t="n">
        <f aca="false">MROUND(I98*'VARIABLES MODELO'!$B$5,30)</f>
        <v>90</v>
      </c>
      <c r="N98" s="2" t="n">
        <f aca="false">IF(A98&lt;=15,MROUND(M98/'VARIABLES MODELO'!$B$11,0.5),MROUND(M98/'VARIABLES MODELO'!$B$12,0.5))</f>
        <v>3</v>
      </c>
      <c r="O98" s="2" t="n">
        <f aca="false">IF(A98&lt;=15,SUM($M$4:M98)/'VARIABLES MODELO'!$B$11,SUM($M$19:M98)/'VARIABLES MODELO'!$B$12)</f>
        <v>191</v>
      </c>
    </row>
    <row r="99" customFormat="false" ht="14.25" hidden="false" customHeight="false" outlineLevel="0" collapsed="false">
      <c r="A99" s="0" t="n">
        <v>96</v>
      </c>
      <c r="B99" s="68" t="n">
        <f aca="false">'VARIABLES MODELO'!$B$4+A99-1</f>
        <v>46380</v>
      </c>
      <c r="C99" s="0" t="str">
        <f aca="false">IF(A99&lt;=15,"Hiper-Precoz 23%","Precoz 19%")</f>
        <v>Precoz 19%</v>
      </c>
      <c r="D99" s="2" t="n">
        <f aca="false">+D98+E98</f>
        <v>95.1499999999999</v>
      </c>
      <c r="E99" s="2" t="n">
        <f aca="false">PRECOZ!C86</f>
        <v>0.65</v>
      </c>
      <c r="F99" s="69" t="n">
        <f aca="false">IF(A99&lt;=5,'VARIABLES MODELO'!$B$13,IF(A99&lt;=15,'VARIABLES MODELO'!$B$14,IF(A99&lt;=50,'VARIABLES MODELO'!$B$15,IF(A99&lt;=80,'VARIABLES MODELO'!$B$16,IF(A99&lt;=120,'VARIABLES MODELO'!$B$17,'VARIABLES MODELO'!$B$18)))))</f>
        <v>0.028</v>
      </c>
      <c r="G99" s="3" t="n">
        <f aca="false">D99*F99</f>
        <v>2.6642</v>
      </c>
      <c r="H99" s="70"/>
      <c r="I99" s="3" t="n">
        <f aca="false">IF(H99="",G99,H99)</f>
        <v>2.6642</v>
      </c>
      <c r="J99" s="71" t="n">
        <f aca="false">IF(A99&lt;=15,'VARIABLES MODELO'!$B$8,'VARIABLES MODELO'!$B$10)</f>
        <v>509.36</v>
      </c>
      <c r="K99" s="71" t="n">
        <f aca="false">I99*J99</f>
        <v>1357.036912</v>
      </c>
      <c r="L99" s="71" t="n">
        <f aca="false">SUM($K$4:K99)</f>
        <v>111035.467782</v>
      </c>
      <c r="M99" s="2" t="n">
        <f aca="false">MROUND(I99*'VARIABLES MODELO'!$B$5,30)</f>
        <v>90</v>
      </c>
      <c r="N99" s="2" t="n">
        <f aca="false">IF(A99&lt;=15,MROUND(M99/'VARIABLES MODELO'!$B$11,0.5),MROUND(M99/'VARIABLES MODELO'!$B$12,0.5))</f>
        <v>3</v>
      </c>
      <c r="O99" s="2" t="n">
        <f aca="false">IF(A99&lt;=15,SUM($M$4:M99)/'VARIABLES MODELO'!$B$11,SUM($M$19:M99)/'VARIABLES MODELO'!$B$12)</f>
        <v>194</v>
      </c>
    </row>
    <row r="100" customFormat="false" ht="14.25" hidden="false" customHeight="false" outlineLevel="0" collapsed="false">
      <c r="A100" s="0" t="n">
        <v>97</v>
      </c>
      <c r="B100" s="68" t="n">
        <f aca="false">'VARIABLES MODELO'!$B$4+A100-1</f>
        <v>46381</v>
      </c>
      <c r="C100" s="0" t="str">
        <f aca="false">IF(A100&lt;=15,"Hiper-Precoz 23%","Precoz 19%")</f>
        <v>Precoz 19%</v>
      </c>
      <c r="D100" s="2" t="n">
        <f aca="false">+D99+E99</f>
        <v>95.7999999999999</v>
      </c>
      <c r="E100" s="2" t="n">
        <f aca="false">PRECOZ!C87</f>
        <v>0.65</v>
      </c>
      <c r="F100" s="69" t="n">
        <f aca="false">IF(A100&lt;=5,'VARIABLES MODELO'!$B$13,IF(A100&lt;=15,'VARIABLES MODELO'!$B$14,IF(A100&lt;=50,'VARIABLES MODELO'!$B$15,IF(A100&lt;=80,'VARIABLES MODELO'!$B$16,IF(A100&lt;=120,'VARIABLES MODELO'!$B$17,'VARIABLES MODELO'!$B$18)))))</f>
        <v>0.028</v>
      </c>
      <c r="G100" s="3" t="n">
        <f aca="false">D100*F100</f>
        <v>2.6824</v>
      </c>
      <c r="H100" s="70"/>
      <c r="I100" s="3" t="n">
        <f aca="false">IF(H100="",G100,H100)</f>
        <v>2.6824</v>
      </c>
      <c r="J100" s="71" t="n">
        <f aca="false">IF(A100&lt;=15,'VARIABLES MODELO'!$B$8,'VARIABLES MODELO'!$B$10)</f>
        <v>509.36</v>
      </c>
      <c r="K100" s="71" t="n">
        <f aca="false">I100*J100</f>
        <v>1366.307264</v>
      </c>
      <c r="L100" s="71" t="n">
        <f aca="false">SUM($K$4:K100)</f>
        <v>112401.775046</v>
      </c>
      <c r="M100" s="2" t="n">
        <f aca="false">MROUND(I100*'VARIABLES MODELO'!$B$5,30)</f>
        <v>90</v>
      </c>
      <c r="N100" s="2" t="n">
        <f aca="false">IF(A100&lt;=15,MROUND(M100/'VARIABLES MODELO'!$B$11,0.5),MROUND(M100/'VARIABLES MODELO'!$B$12,0.5))</f>
        <v>3</v>
      </c>
      <c r="O100" s="2" t="n">
        <f aca="false">IF(A100&lt;=15,SUM($M$4:M100)/'VARIABLES MODELO'!$B$11,SUM($M$19:M100)/'VARIABLES MODELO'!$B$12)</f>
        <v>197</v>
      </c>
    </row>
    <row r="101" customFormat="false" ht="14.25" hidden="false" customHeight="false" outlineLevel="0" collapsed="false">
      <c r="A101" s="0" t="n">
        <v>98</v>
      </c>
      <c r="B101" s="68" t="n">
        <f aca="false">'VARIABLES MODELO'!$B$4+A101-1</f>
        <v>46382</v>
      </c>
      <c r="C101" s="0" t="str">
        <f aca="false">IF(A101&lt;=15,"Hiper-Precoz 23%","Precoz 19%")</f>
        <v>Precoz 19%</v>
      </c>
      <c r="D101" s="2" t="n">
        <f aca="false">+D100+E100</f>
        <v>96.4499999999999</v>
      </c>
      <c r="E101" s="2" t="n">
        <f aca="false">PRECOZ!C88</f>
        <v>0.65</v>
      </c>
      <c r="F101" s="69" t="n">
        <f aca="false">IF(A101&lt;=5,'VARIABLES MODELO'!$B$13,IF(A101&lt;=15,'VARIABLES MODELO'!$B$14,IF(A101&lt;=50,'VARIABLES MODELO'!$B$15,IF(A101&lt;=80,'VARIABLES MODELO'!$B$16,IF(A101&lt;=120,'VARIABLES MODELO'!$B$17,'VARIABLES MODELO'!$B$18)))))</f>
        <v>0.028</v>
      </c>
      <c r="G101" s="3" t="n">
        <f aca="false">D101*F101</f>
        <v>2.7006</v>
      </c>
      <c r="H101" s="70"/>
      <c r="I101" s="3" t="n">
        <f aca="false">IF(H101="",G101,H101)</f>
        <v>2.7006</v>
      </c>
      <c r="J101" s="71" t="n">
        <f aca="false">IF(A101&lt;=15,'VARIABLES MODELO'!$B$8,'VARIABLES MODELO'!$B$10)</f>
        <v>509.36</v>
      </c>
      <c r="K101" s="71" t="n">
        <f aca="false">I101*J101</f>
        <v>1375.577616</v>
      </c>
      <c r="L101" s="71" t="n">
        <f aca="false">SUM($K$4:K101)</f>
        <v>113777.352662</v>
      </c>
      <c r="M101" s="2" t="n">
        <f aca="false">MROUND(I101*'VARIABLES MODELO'!$B$5,30)</f>
        <v>90</v>
      </c>
      <c r="N101" s="2" t="n">
        <f aca="false">IF(A101&lt;=15,MROUND(M101/'VARIABLES MODELO'!$B$11,0.5),MROUND(M101/'VARIABLES MODELO'!$B$12,0.5))</f>
        <v>3</v>
      </c>
      <c r="O101" s="2" t="n">
        <f aca="false">IF(A101&lt;=15,SUM($M$4:M101)/'VARIABLES MODELO'!$B$11,SUM($M$19:M101)/'VARIABLES MODELO'!$B$12)</f>
        <v>200</v>
      </c>
    </row>
    <row r="102" customFormat="false" ht="14.25" hidden="false" customHeight="false" outlineLevel="0" collapsed="false">
      <c r="A102" s="0" t="n">
        <v>99</v>
      </c>
      <c r="B102" s="68" t="n">
        <f aca="false">'VARIABLES MODELO'!$B$4+A102-1</f>
        <v>46383</v>
      </c>
      <c r="C102" s="0" t="str">
        <f aca="false">IF(A102&lt;=15,"Hiper-Precoz 23%","Precoz 19%")</f>
        <v>Precoz 19%</v>
      </c>
      <c r="D102" s="2" t="n">
        <f aca="false">+D101+E101</f>
        <v>97.0999999999999</v>
      </c>
      <c r="E102" s="2" t="n">
        <f aca="false">PRECOZ!C89</f>
        <v>0.65</v>
      </c>
      <c r="F102" s="69" t="n">
        <f aca="false">IF(A102&lt;=5,'VARIABLES MODELO'!$B$13,IF(A102&lt;=15,'VARIABLES MODELO'!$B$14,IF(A102&lt;=50,'VARIABLES MODELO'!$B$15,IF(A102&lt;=80,'VARIABLES MODELO'!$B$16,IF(A102&lt;=120,'VARIABLES MODELO'!$B$17,'VARIABLES MODELO'!$B$18)))))</f>
        <v>0.028</v>
      </c>
      <c r="G102" s="3" t="n">
        <f aca="false">D102*F102</f>
        <v>2.7188</v>
      </c>
      <c r="H102" s="70"/>
      <c r="I102" s="3" t="n">
        <f aca="false">IF(H102="",G102,H102)</f>
        <v>2.7188</v>
      </c>
      <c r="J102" s="71" t="n">
        <f aca="false">IF(A102&lt;=15,'VARIABLES MODELO'!$B$8,'VARIABLES MODELO'!$B$10)</f>
        <v>509.36</v>
      </c>
      <c r="K102" s="71" t="n">
        <f aca="false">I102*J102</f>
        <v>1384.847968</v>
      </c>
      <c r="L102" s="71" t="n">
        <f aca="false">SUM($K$4:K102)</f>
        <v>115162.20063</v>
      </c>
      <c r="M102" s="2" t="n">
        <f aca="false">MROUND(I102*'VARIABLES MODELO'!$B$5,30)</f>
        <v>90</v>
      </c>
      <c r="N102" s="2" t="n">
        <f aca="false">IF(A102&lt;=15,MROUND(M102/'VARIABLES MODELO'!$B$11,0.5),MROUND(M102/'VARIABLES MODELO'!$B$12,0.5))</f>
        <v>3</v>
      </c>
      <c r="O102" s="2" t="n">
        <f aca="false">IF(A102&lt;=15,SUM($M$4:M102)/'VARIABLES MODELO'!$B$11,SUM($M$19:M102)/'VARIABLES MODELO'!$B$12)</f>
        <v>203</v>
      </c>
    </row>
    <row r="103" customFormat="false" ht="14.25" hidden="false" customHeight="false" outlineLevel="0" collapsed="false">
      <c r="A103" s="0" t="n">
        <v>100</v>
      </c>
      <c r="B103" s="68" t="n">
        <f aca="false">'VARIABLES MODELO'!$B$4+A103-1</f>
        <v>46384</v>
      </c>
      <c r="C103" s="0" t="str">
        <f aca="false">IF(A103&lt;=15,"Hiper-Precoz 23%","Precoz 19%")</f>
        <v>Precoz 19%</v>
      </c>
      <c r="D103" s="2" t="n">
        <f aca="false">+D102+E102</f>
        <v>97.7499999999999</v>
      </c>
      <c r="E103" s="2" t="n">
        <f aca="false">PRECOZ!C90</f>
        <v>0.65</v>
      </c>
      <c r="F103" s="69" t="n">
        <f aca="false">IF(A103&lt;=5,'VARIABLES MODELO'!$B$13,IF(A103&lt;=15,'VARIABLES MODELO'!$B$14,IF(A103&lt;=50,'VARIABLES MODELO'!$B$15,IF(A103&lt;=80,'VARIABLES MODELO'!$B$16,IF(A103&lt;=120,'VARIABLES MODELO'!$B$17,'VARIABLES MODELO'!$B$18)))))</f>
        <v>0.028</v>
      </c>
      <c r="G103" s="3" t="n">
        <f aca="false">D103*F103</f>
        <v>2.737</v>
      </c>
      <c r="H103" s="70"/>
      <c r="I103" s="3" t="n">
        <f aca="false">IF(H103="",G103,H103)</f>
        <v>2.737</v>
      </c>
      <c r="J103" s="71" t="n">
        <f aca="false">IF(A103&lt;=15,'VARIABLES MODELO'!$B$8,'VARIABLES MODELO'!$B$10)</f>
        <v>509.36</v>
      </c>
      <c r="K103" s="71" t="n">
        <f aca="false">I103*J103</f>
        <v>1394.11832</v>
      </c>
      <c r="L103" s="71" t="n">
        <f aca="false">SUM($K$4:K103)</f>
        <v>116556.31895</v>
      </c>
      <c r="M103" s="2" t="n">
        <f aca="false">MROUND(I103*'VARIABLES MODELO'!$B$5,30)</f>
        <v>90</v>
      </c>
      <c r="N103" s="2" t="n">
        <f aca="false">IF(A103&lt;=15,MROUND(M103/'VARIABLES MODELO'!$B$11,0.5),MROUND(M103/'VARIABLES MODELO'!$B$12,0.5))</f>
        <v>3</v>
      </c>
      <c r="O103" s="2" t="n">
        <f aca="false">IF(A103&lt;=15,SUM($M$4:M103)/'VARIABLES MODELO'!$B$11,SUM($M$19:M103)/'VARIABLES MODELO'!$B$12)</f>
        <v>206</v>
      </c>
    </row>
    <row r="104" customFormat="false" ht="14.25" hidden="false" customHeight="false" outlineLevel="0" collapsed="false">
      <c r="A104" s="0" t="n">
        <v>101</v>
      </c>
      <c r="B104" s="68" t="n">
        <f aca="false">'VARIABLES MODELO'!$B$4+A104-1</f>
        <v>46385</v>
      </c>
      <c r="C104" s="0" t="str">
        <f aca="false">IF(A104&lt;=15,"Hiper-Precoz 23%","Precoz 19%")</f>
        <v>Precoz 19%</v>
      </c>
      <c r="D104" s="2" t="n">
        <f aca="false">+D103+E103</f>
        <v>98.3999999999999</v>
      </c>
      <c r="E104" s="2" t="n">
        <f aca="false">PRECOZ!C91</f>
        <v>0.65</v>
      </c>
      <c r="F104" s="69" t="n">
        <f aca="false">IF(A104&lt;=5,'VARIABLES MODELO'!$B$13,IF(A104&lt;=15,'VARIABLES MODELO'!$B$14,IF(A104&lt;=50,'VARIABLES MODELO'!$B$15,IF(A104&lt;=80,'VARIABLES MODELO'!$B$16,IF(A104&lt;=120,'VARIABLES MODELO'!$B$17,'VARIABLES MODELO'!$B$18)))))</f>
        <v>0.028</v>
      </c>
      <c r="G104" s="3" t="n">
        <f aca="false">D104*F104</f>
        <v>2.7552</v>
      </c>
      <c r="H104" s="70"/>
      <c r="I104" s="3" t="n">
        <f aca="false">IF(H104="",G104,H104)</f>
        <v>2.7552</v>
      </c>
      <c r="J104" s="71" t="n">
        <f aca="false">IF(A104&lt;=15,'VARIABLES MODELO'!$B$8,'VARIABLES MODELO'!$B$10)</f>
        <v>509.36</v>
      </c>
      <c r="K104" s="71" t="n">
        <f aca="false">I104*J104</f>
        <v>1403.388672</v>
      </c>
      <c r="L104" s="71" t="n">
        <f aca="false">SUM($K$4:K104)</f>
        <v>117959.707622</v>
      </c>
      <c r="M104" s="2" t="n">
        <f aca="false">MROUND(I104*'VARIABLES MODELO'!$B$5,30)</f>
        <v>90</v>
      </c>
      <c r="N104" s="2" t="n">
        <f aca="false">IF(A104&lt;=15,MROUND(M104/'VARIABLES MODELO'!$B$11,0.5),MROUND(M104/'VARIABLES MODELO'!$B$12,0.5))</f>
        <v>3</v>
      </c>
      <c r="O104" s="2" t="n">
        <f aca="false">IF(A104&lt;=15,SUM($M$4:M104)/'VARIABLES MODELO'!$B$11,SUM($M$19:M104)/'VARIABLES MODELO'!$B$12)</f>
        <v>209</v>
      </c>
    </row>
    <row r="105" customFormat="false" ht="14.25" hidden="false" customHeight="false" outlineLevel="0" collapsed="false">
      <c r="A105" s="0" t="n">
        <v>102</v>
      </c>
      <c r="B105" s="68" t="n">
        <f aca="false">'VARIABLES MODELO'!$B$4+A105-1</f>
        <v>46386</v>
      </c>
      <c r="C105" s="0" t="str">
        <f aca="false">IF(A105&lt;=15,"Hiper-Precoz 23%","Precoz 19%")</f>
        <v>Precoz 19%</v>
      </c>
      <c r="D105" s="2" t="n">
        <f aca="false">+D104+E104</f>
        <v>99.0499999999999</v>
      </c>
      <c r="E105" s="2" t="n">
        <f aca="false">PRECOZ!C92</f>
        <v>0.65</v>
      </c>
      <c r="F105" s="69" t="n">
        <f aca="false">IF(A105&lt;=5,'VARIABLES MODELO'!$B$13,IF(A105&lt;=15,'VARIABLES MODELO'!$B$14,IF(A105&lt;=50,'VARIABLES MODELO'!$B$15,IF(A105&lt;=80,'VARIABLES MODELO'!$B$16,IF(A105&lt;=120,'VARIABLES MODELO'!$B$17,'VARIABLES MODELO'!$B$18)))))</f>
        <v>0.028</v>
      </c>
      <c r="G105" s="3" t="n">
        <f aca="false">D105*F105</f>
        <v>2.7734</v>
      </c>
      <c r="H105" s="70"/>
      <c r="I105" s="3" t="n">
        <f aca="false">IF(H105="",G105,H105)</f>
        <v>2.7734</v>
      </c>
      <c r="J105" s="71" t="n">
        <f aca="false">IF(A105&lt;=15,'VARIABLES MODELO'!$B$8,'VARIABLES MODELO'!$B$10)</f>
        <v>509.36</v>
      </c>
      <c r="K105" s="71" t="n">
        <f aca="false">I105*J105</f>
        <v>1412.659024</v>
      </c>
      <c r="L105" s="71" t="n">
        <f aca="false">SUM($K$4:K105)</f>
        <v>119372.366646</v>
      </c>
      <c r="M105" s="2" t="n">
        <f aca="false">MROUND(I105*'VARIABLES MODELO'!$B$5,30)</f>
        <v>90</v>
      </c>
      <c r="N105" s="2" t="n">
        <f aca="false">IF(A105&lt;=15,MROUND(M105/'VARIABLES MODELO'!$B$11,0.5),MROUND(M105/'VARIABLES MODELO'!$B$12,0.5))</f>
        <v>3</v>
      </c>
      <c r="O105" s="2" t="n">
        <f aca="false">IF(A105&lt;=15,SUM($M$4:M105)/'VARIABLES MODELO'!$B$11,SUM($M$19:M105)/'VARIABLES MODELO'!$B$12)</f>
        <v>212</v>
      </c>
    </row>
    <row r="106" customFormat="false" ht="14.25" hidden="false" customHeight="false" outlineLevel="0" collapsed="false">
      <c r="A106" s="0" t="n">
        <v>103</v>
      </c>
      <c r="B106" s="68" t="n">
        <f aca="false">'VARIABLES MODELO'!$B$4+A106-1</f>
        <v>46387</v>
      </c>
      <c r="C106" s="0" t="str">
        <f aca="false">IF(A106&lt;=15,"Hiper-Precoz 23%","Precoz 19%")</f>
        <v>Precoz 19%</v>
      </c>
      <c r="D106" s="2" t="n">
        <f aca="false">+D105+E105</f>
        <v>99.6999999999999</v>
      </c>
      <c r="E106" s="2" t="n">
        <f aca="false">PRECOZ!C93</f>
        <v>0.65</v>
      </c>
      <c r="F106" s="69" t="n">
        <f aca="false">IF(A106&lt;=5,'VARIABLES MODELO'!$B$13,IF(A106&lt;=15,'VARIABLES MODELO'!$B$14,IF(A106&lt;=50,'VARIABLES MODELO'!$B$15,IF(A106&lt;=80,'VARIABLES MODELO'!$B$16,IF(A106&lt;=120,'VARIABLES MODELO'!$B$17,'VARIABLES MODELO'!$B$18)))))</f>
        <v>0.028</v>
      </c>
      <c r="G106" s="3" t="n">
        <f aca="false">D106*F106</f>
        <v>2.7916</v>
      </c>
      <c r="H106" s="70"/>
      <c r="I106" s="3" t="n">
        <f aca="false">IF(H106="",G106,H106)</f>
        <v>2.7916</v>
      </c>
      <c r="J106" s="71" t="n">
        <f aca="false">IF(A106&lt;=15,'VARIABLES MODELO'!$B$8,'VARIABLES MODELO'!$B$10)</f>
        <v>509.36</v>
      </c>
      <c r="K106" s="71" t="n">
        <f aca="false">I106*J106</f>
        <v>1421.929376</v>
      </c>
      <c r="L106" s="71" t="n">
        <f aca="false">SUM($K$4:K106)</f>
        <v>120794.296022</v>
      </c>
      <c r="M106" s="2" t="n">
        <f aca="false">MROUND(I106*'VARIABLES MODELO'!$B$5,30)</f>
        <v>90</v>
      </c>
      <c r="N106" s="2" t="n">
        <f aca="false">IF(A106&lt;=15,MROUND(M106/'VARIABLES MODELO'!$B$11,0.5),MROUND(M106/'VARIABLES MODELO'!$B$12,0.5))</f>
        <v>3</v>
      </c>
      <c r="O106" s="2" t="n">
        <f aca="false">IF(A106&lt;=15,SUM($M$4:M106)/'VARIABLES MODELO'!$B$11,SUM($M$19:M106)/'VARIABLES MODELO'!$B$12)</f>
        <v>215</v>
      </c>
    </row>
    <row r="107" customFormat="false" ht="14.25" hidden="false" customHeight="false" outlineLevel="0" collapsed="false">
      <c r="A107" s="0" t="n">
        <v>104</v>
      </c>
      <c r="B107" s="68" t="n">
        <f aca="false">'VARIABLES MODELO'!$B$4+A107-1</f>
        <v>46388</v>
      </c>
      <c r="C107" s="0" t="str">
        <f aca="false">IF(A107&lt;=15,"Hiper-Precoz 23%","Precoz 19%")</f>
        <v>Precoz 19%</v>
      </c>
      <c r="D107" s="2" t="n">
        <f aca="false">+D106+E106</f>
        <v>100.35</v>
      </c>
      <c r="E107" s="2" t="n">
        <f aca="false">PRECOZ!C94</f>
        <v>0.65</v>
      </c>
      <c r="F107" s="69" t="n">
        <f aca="false">IF(A107&lt;=5,'VARIABLES MODELO'!$B$13,IF(A107&lt;=15,'VARIABLES MODELO'!$B$14,IF(A107&lt;=50,'VARIABLES MODELO'!$B$15,IF(A107&lt;=80,'VARIABLES MODELO'!$B$16,IF(A107&lt;=120,'VARIABLES MODELO'!$B$17,'VARIABLES MODELO'!$B$18)))))</f>
        <v>0.028</v>
      </c>
      <c r="G107" s="3" t="n">
        <f aca="false">D107*F107</f>
        <v>2.8098</v>
      </c>
      <c r="H107" s="70"/>
      <c r="I107" s="3" t="n">
        <f aca="false">IF(H107="",G107,H107)</f>
        <v>2.8098</v>
      </c>
      <c r="J107" s="71" t="n">
        <f aca="false">IF(A107&lt;=15,'VARIABLES MODELO'!$B$8,'VARIABLES MODELO'!$B$10)</f>
        <v>509.36</v>
      </c>
      <c r="K107" s="71" t="n">
        <f aca="false">I107*J107</f>
        <v>1431.199728</v>
      </c>
      <c r="L107" s="71" t="n">
        <f aca="false">SUM($K$4:K107)</f>
        <v>122225.49575</v>
      </c>
      <c r="M107" s="2" t="n">
        <f aca="false">MROUND(I107*'VARIABLES MODELO'!$B$5,30)</f>
        <v>90</v>
      </c>
      <c r="N107" s="2" t="n">
        <f aca="false">IF(A107&lt;=15,MROUND(M107/'VARIABLES MODELO'!$B$11,0.5),MROUND(M107/'VARIABLES MODELO'!$B$12,0.5))</f>
        <v>3</v>
      </c>
      <c r="O107" s="2" t="n">
        <f aca="false">IF(A107&lt;=15,SUM($M$4:M107)/'VARIABLES MODELO'!$B$11,SUM($M$19:M107)/'VARIABLES MODELO'!$B$12)</f>
        <v>218</v>
      </c>
    </row>
    <row r="108" customFormat="false" ht="14.25" hidden="false" customHeight="false" outlineLevel="0" collapsed="false">
      <c r="A108" s="0" t="n">
        <v>105</v>
      </c>
      <c r="B108" s="68" t="n">
        <f aca="false">'VARIABLES MODELO'!$B$4+A108-1</f>
        <v>46389</v>
      </c>
      <c r="C108" s="0" t="str">
        <f aca="false">IF(A108&lt;=15,"Hiper-Precoz 23%","Precoz 19%")</f>
        <v>Precoz 19%</v>
      </c>
      <c r="D108" s="2" t="n">
        <f aca="false">+D107+E107</f>
        <v>101</v>
      </c>
      <c r="E108" s="2" t="n">
        <f aca="false">PRECOZ!C95</f>
        <v>0.65</v>
      </c>
      <c r="F108" s="69" t="n">
        <f aca="false">IF(A108&lt;=5,'VARIABLES MODELO'!$B$13,IF(A108&lt;=15,'VARIABLES MODELO'!$B$14,IF(A108&lt;=50,'VARIABLES MODELO'!$B$15,IF(A108&lt;=80,'VARIABLES MODELO'!$B$16,IF(A108&lt;=120,'VARIABLES MODELO'!$B$17,'VARIABLES MODELO'!$B$18)))))</f>
        <v>0.028</v>
      </c>
      <c r="G108" s="3" t="n">
        <f aca="false">D108*F108</f>
        <v>2.828</v>
      </c>
      <c r="H108" s="70"/>
      <c r="I108" s="3" t="n">
        <f aca="false">IF(H108="",G108,H108)</f>
        <v>2.828</v>
      </c>
      <c r="J108" s="71" t="n">
        <f aca="false">IF(A108&lt;=15,'VARIABLES MODELO'!$B$8,'VARIABLES MODELO'!$B$10)</f>
        <v>509.36</v>
      </c>
      <c r="K108" s="71" t="n">
        <f aca="false">I108*J108</f>
        <v>1440.47008</v>
      </c>
      <c r="L108" s="71" t="n">
        <f aca="false">SUM($K$4:K108)</f>
        <v>123665.96583</v>
      </c>
      <c r="M108" s="2" t="n">
        <f aca="false">MROUND(I108*'VARIABLES MODELO'!$B$5,30)</f>
        <v>90</v>
      </c>
      <c r="N108" s="2" t="n">
        <f aca="false">IF(A108&lt;=15,MROUND(M108/'VARIABLES MODELO'!$B$11,0.5),MROUND(M108/'VARIABLES MODELO'!$B$12,0.5))</f>
        <v>3</v>
      </c>
      <c r="O108" s="2" t="n">
        <f aca="false">IF(A108&lt;=15,SUM($M$4:M108)/'VARIABLES MODELO'!$B$11,SUM($M$19:M108)/'VARIABLES MODELO'!$B$12)</f>
        <v>221</v>
      </c>
    </row>
    <row r="109" customFormat="false" ht="14.25" hidden="false" customHeight="false" outlineLevel="0" collapsed="false">
      <c r="A109" s="0" t="n">
        <v>106</v>
      </c>
      <c r="B109" s="68" t="n">
        <f aca="false">'VARIABLES MODELO'!$B$4+A109-1</f>
        <v>46390</v>
      </c>
      <c r="C109" s="0" t="str">
        <f aca="false">IF(A109&lt;=15,"Hiper-Precoz 23%","Precoz 19%")</f>
        <v>Precoz 19%</v>
      </c>
      <c r="D109" s="2" t="n">
        <f aca="false">+D108+E108</f>
        <v>101.65</v>
      </c>
      <c r="E109" s="2" t="n">
        <f aca="false">PRECOZ!C96</f>
        <v>0.65</v>
      </c>
      <c r="F109" s="69" t="n">
        <f aca="false">IF(A109&lt;=5,'VARIABLES MODELO'!$B$13,IF(A109&lt;=15,'VARIABLES MODELO'!$B$14,IF(A109&lt;=50,'VARIABLES MODELO'!$B$15,IF(A109&lt;=80,'VARIABLES MODELO'!$B$16,IF(A109&lt;=120,'VARIABLES MODELO'!$B$17,'VARIABLES MODELO'!$B$18)))))</f>
        <v>0.028</v>
      </c>
      <c r="G109" s="3" t="n">
        <f aca="false">D109*F109</f>
        <v>2.8462</v>
      </c>
      <c r="H109" s="70"/>
      <c r="I109" s="3" t="n">
        <f aca="false">IF(H109="",G109,H109)</f>
        <v>2.8462</v>
      </c>
      <c r="J109" s="71" t="n">
        <f aca="false">IF(A109&lt;=15,'VARIABLES MODELO'!$B$8,'VARIABLES MODELO'!$B$10)</f>
        <v>509.36</v>
      </c>
      <c r="K109" s="71" t="n">
        <f aca="false">I109*J109</f>
        <v>1449.740432</v>
      </c>
      <c r="L109" s="71" t="n">
        <f aca="false">SUM($K$4:K109)</f>
        <v>125115.706262</v>
      </c>
      <c r="M109" s="2" t="n">
        <f aca="false">MROUND(I109*'VARIABLES MODELO'!$B$5,30)</f>
        <v>90</v>
      </c>
      <c r="N109" s="2" t="n">
        <f aca="false">IF(A109&lt;=15,MROUND(M109/'VARIABLES MODELO'!$B$11,0.5),MROUND(M109/'VARIABLES MODELO'!$B$12,0.5))</f>
        <v>3</v>
      </c>
      <c r="O109" s="2" t="n">
        <f aca="false">IF(A109&lt;=15,SUM($M$4:M109)/'VARIABLES MODELO'!$B$11,SUM($M$19:M109)/'VARIABLES MODELO'!$B$12)</f>
        <v>224</v>
      </c>
    </row>
    <row r="110" customFormat="false" ht="14.25" hidden="false" customHeight="false" outlineLevel="0" collapsed="false">
      <c r="A110" s="0" t="n">
        <v>107</v>
      </c>
      <c r="B110" s="68" t="n">
        <f aca="false">'VARIABLES MODELO'!$B$4+A110-1</f>
        <v>46391</v>
      </c>
      <c r="C110" s="0" t="str">
        <f aca="false">IF(A110&lt;=15,"Hiper-Precoz 23%","Precoz 19%")</f>
        <v>Precoz 19%</v>
      </c>
      <c r="D110" s="2" t="n">
        <f aca="false">+D109+E109</f>
        <v>102.3</v>
      </c>
      <c r="E110" s="2" t="n">
        <f aca="false">PRECOZ!C97</f>
        <v>0.65</v>
      </c>
      <c r="F110" s="69" t="n">
        <f aca="false">IF(A110&lt;=5,'VARIABLES MODELO'!$B$13,IF(A110&lt;=15,'VARIABLES MODELO'!$B$14,IF(A110&lt;=50,'VARIABLES MODELO'!$B$15,IF(A110&lt;=80,'VARIABLES MODELO'!$B$16,IF(A110&lt;=120,'VARIABLES MODELO'!$B$17,'VARIABLES MODELO'!$B$18)))))</f>
        <v>0.028</v>
      </c>
      <c r="G110" s="3" t="n">
        <f aca="false">D110*F110</f>
        <v>2.8644</v>
      </c>
      <c r="H110" s="70"/>
      <c r="I110" s="3" t="n">
        <f aca="false">IF(H110="",G110,H110)</f>
        <v>2.8644</v>
      </c>
      <c r="J110" s="71" t="n">
        <f aca="false">IF(A110&lt;=15,'VARIABLES MODELO'!$B$8,'VARIABLES MODELO'!$B$10)</f>
        <v>509.36</v>
      </c>
      <c r="K110" s="71" t="n">
        <f aca="false">I110*J110</f>
        <v>1459.010784</v>
      </c>
      <c r="L110" s="71" t="n">
        <f aca="false">SUM($K$4:K110)</f>
        <v>126574.717046</v>
      </c>
      <c r="M110" s="2" t="n">
        <f aca="false">MROUND(I110*'VARIABLES MODELO'!$B$5,30)</f>
        <v>90</v>
      </c>
      <c r="N110" s="2" t="n">
        <f aca="false">IF(A110&lt;=15,MROUND(M110/'VARIABLES MODELO'!$B$11,0.5),MROUND(M110/'VARIABLES MODELO'!$B$12,0.5))</f>
        <v>3</v>
      </c>
      <c r="O110" s="2" t="n">
        <f aca="false">IF(A110&lt;=15,SUM($M$4:M110)/'VARIABLES MODELO'!$B$11,SUM($M$19:M110)/'VARIABLES MODELO'!$B$12)</f>
        <v>227</v>
      </c>
    </row>
    <row r="111" customFormat="false" ht="14.25" hidden="false" customHeight="false" outlineLevel="0" collapsed="false">
      <c r="A111" s="0" t="n">
        <v>108</v>
      </c>
      <c r="B111" s="68" t="n">
        <f aca="false">'VARIABLES MODELO'!$B$4+A111-1</f>
        <v>46392</v>
      </c>
      <c r="C111" s="0" t="str">
        <f aca="false">IF(A111&lt;=15,"Hiper-Precoz 23%","Precoz 19%")</f>
        <v>Precoz 19%</v>
      </c>
      <c r="D111" s="2" t="n">
        <f aca="false">+D110+E110</f>
        <v>102.95</v>
      </c>
      <c r="E111" s="2" t="n">
        <f aca="false">PRECOZ!C98</f>
        <v>0.65</v>
      </c>
      <c r="F111" s="69" t="n">
        <f aca="false">IF(A111&lt;=5,'VARIABLES MODELO'!$B$13,IF(A111&lt;=15,'VARIABLES MODELO'!$B$14,IF(A111&lt;=50,'VARIABLES MODELO'!$B$15,IF(A111&lt;=80,'VARIABLES MODELO'!$B$16,IF(A111&lt;=120,'VARIABLES MODELO'!$B$17,'VARIABLES MODELO'!$B$18)))))</f>
        <v>0.028</v>
      </c>
      <c r="G111" s="3" t="n">
        <f aca="false">D111*F111</f>
        <v>2.8826</v>
      </c>
      <c r="H111" s="70"/>
      <c r="I111" s="3" t="n">
        <f aca="false">IF(H111="",G111,H111)</f>
        <v>2.8826</v>
      </c>
      <c r="J111" s="71" t="n">
        <f aca="false">IF(A111&lt;=15,'VARIABLES MODELO'!$B$8,'VARIABLES MODELO'!$B$10)</f>
        <v>509.36</v>
      </c>
      <c r="K111" s="71" t="n">
        <f aca="false">I111*J111</f>
        <v>1468.281136</v>
      </c>
      <c r="L111" s="71" t="n">
        <f aca="false">SUM($K$4:K111)</f>
        <v>128042.998182</v>
      </c>
      <c r="M111" s="2" t="n">
        <f aca="false">MROUND(I111*'VARIABLES MODELO'!$B$5,30)</f>
        <v>90</v>
      </c>
      <c r="N111" s="2" t="n">
        <f aca="false">IF(A111&lt;=15,MROUND(M111/'VARIABLES MODELO'!$B$11,0.5),MROUND(M111/'VARIABLES MODELO'!$B$12,0.5))</f>
        <v>3</v>
      </c>
      <c r="O111" s="2" t="n">
        <f aca="false">IF(A111&lt;=15,SUM($M$4:M111)/'VARIABLES MODELO'!$B$11,SUM($M$19:M111)/'VARIABLES MODELO'!$B$12)</f>
        <v>230</v>
      </c>
    </row>
    <row r="112" customFormat="false" ht="14.25" hidden="false" customHeight="false" outlineLevel="0" collapsed="false">
      <c r="A112" s="0" t="n">
        <v>109</v>
      </c>
      <c r="B112" s="68" t="n">
        <f aca="false">'VARIABLES MODELO'!$B$4+A112-1</f>
        <v>46393</v>
      </c>
      <c r="C112" s="0" t="str">
        <f aca="false">IF(A112&lt;=15,"Hiper-Precoz 23%","Precoz 19%")</f>
        <v>Precoz 19%</v>
      </c>
      <c r="D112" s="2" t="n">
        <f aca="false">+D111+E111</f>
        <v>103.6</v>
      </c>
      <c r="E112" s="2" t="n">
        <f aca="false">PRECOZ!C99</f>
        <v>0.65</v>
      </c>
      <c r="F112" s="69" t="n">
        <f aca="false">IF(A112&lt;=5,'VARIABLES MODELO'!$B$13,IF(A112&lt;=15,'VARIABLES MODELO'!$B$14,IF(A112&lt;=50,'VARIABLES MODELO'!$B$15,IF(A112&lt;=80,'VARIABLES MODELO'!$B$16,IF(A112&lt;=120,'VARIABLES MODELO'!$B$17,'VARIABLES MODELO'!$B$18)))))</f>
        <v>0.028</v>
      </c>
      <c r="G112" s="3" t="n">
        <f aca="false">D112*F112</f>
        <v>2.9008</v>
      </c>
      <c r="H112" s="70"/>
      <c r="I112" s="3" t="n">
        <f aca="false">IF(H112="",G112,H112)</f>
        <v>2.9008</v>
      </c>
      <c r="J112" s="71" t="n">
        <f aca="false">IF(A112&lt;=15,'VARIABLES MODELO'!$B$8,'VARIABLES MODELO'!$B$10)</f>
        <v>509.36</v>
      </c>
      <c r="K112" s="71" t="n">
        <f aca="false">I112*J112</f>
        <v>1477.551488</v>
      </c>
      <c r="L112" s="71" t="n">
        <f aca="false">SUM($K$4:K112)</f>
        <v>129520.54967</v>
      </c>
      <c r="M112" s="2" t="n">
        <f aca="false">MROUND(I112*'VARIABLES MODELO'!$B$5,30)</f>
        <v>90</v>
      </c>
      <c r="N112" s="2" t="n">
        <f aca="false">IF(A112&lt;=15,MROUND(M112/'VARIABLES MODELO'!$B$11,0.5),MROUND(M112/'VARIABLES MODELO'!$B$12,0.5))</f>
        <v>3</v>
      </c>
      <c r="O112" s="2" t="n">
        <f aca="false">IF(A112&lt;=15,SUM($M$4:M112)/'VARIABLES MODELO'!$B$11,SUM($M$19:M112)/'VARIABLES MODELO'!$B$12)</f>
        <v>233</v>
      </c>
    </row>
    <row r="113" customFormat="false" ht="14.25" hidden="false" customHeight="false" outlineLevel="0" collapsed="false">
      <c r="A113" s="0" t="n">
        <v>110</v>
      </c>
      <c r="B113" s="68" t="n">
        <f aca="false">'VARIABLES MODELO'!$B$4+A113-1</f>
        <v>46394</v>
      </c>
      <c r="C113" s="0" t="str">
        <f aca="false">IF(A113&lt;=15,"Hiper-Precoz 23%","Precoz 19%")</f>
        <v>Precoz 19%</v>
      </c>
      <c r="D113" s="2" t="n">
        <f aca="false">+D112+E112</f>
        <v>104.25</v>
      </c>
      <c r="E113" s="2" t="n">
        <f aca="false">PRECOZ!C100</f>
        <v>0.65</v>
      </c>
      <c r="F113" s="69" t="n">
        <f aca="false">IF(A113&lt;=5,'VARIABLES MODELO'!$B$13,IF(A113&lt;=15,'VARIABLES MODELO'!$B$14,IF(A113&lt;=50,'VARIABLES MODELO'!$B$15,IF(A113&lt;=80,'VARIABLES MODELO'!$B$16,IF(A113&lt;=120,'VARIABLES MODELO'!$B$17,'VARIABLES MODELO'!$B$18)))))</f>
        <v>0.028</v>
      </c>
      <c r="G113" s="3" t="n">
        <f aca="false">D113*F113</f>
        <v>2.919</v>
      </c>
      <c r="H113" s="70"/>
      <c r="I113" s="3" t="n">
        <f aca="false">IF(H113="",G113,H113)</f>
        <v>2.919</v>
      </c>
      <c r="J113" s="71" t="n">
        <f aca="false">IF(A113&lt;=15,'VARIABLES MODELO'!$B$8,'VARIABLES MODELO'!$B$10)</f>
        <v>509.36</v>
      </c>
      <c r="K113" s="71" t="n">
        <f aca="false">I113*J113</f>
        <v>1486.82184</v>
      </c>
      <c r="L113" s="71" t="n">
        <f aca="false">SUM($K$4:K113)</f>
        <v>131007.37151</v>
      </c>
      <c r="M113" s="2" t="n">
        <f aca="false">MROUND(I113*'VARIABLES MODELO'!$B$5,30)</f>
        <v>90</v>
      </c>
      <c r="N113" s="2" t="n">
        <f aca="false">IF(A113&lt;=15,MROUND(M113/'VARIABLES MODELO'!$B$11,0.5),MROUND(M113/'VARIABLES MODELO'!$B$12,0.5))</f>
        <v>3</v>
      </c>
      <c r="O113" s="2" t="n">
        <f aca="false">IF(A113&lt;=15,SUM($M$4:M113)/'VARIABLES MODELO'!$B$11,SUM($M$19:M113)/'VARIABLES MODELO'!$B$12)</f>
        <v>236</v>
      </c>
    </row>
    <row r="114" customFormat="false" ht="14.25" hidden="false" customHeight="false" outlineLevel="0" collapsed="false">
      <c r="A114" s="0" t="n">
        <v>111</v>
      </c>
      <c r="B114" s="68" t="n">
        <f aca="false">'VARIABLES MODELO'!$B$4+A114-1</f>
        <v>46395</v>
      </c>
      <c r="C114" s="0" t="str">
        <f aca="false">IF(A114&lt;=15,"Hiper-Precoz 23%","Precoz 19%")</f>
        <v>Precoz 19%</v>
      </c>
      <c r="D114" s="2" t="n">
        <f aca="false">+D113+E113</f>
        <v>104.9</v>
      </c>
      <c r="E114" s="2" t="n">
        <f aca="false">PRECOZ!C101</f>
        <v>0.65</v>
      </c>
      <c r="F114" s="69" t="n">
        <f aca="false">IF(A114&lt;=5,'VARIABLES MODELO'!$B$13,IF(A114&lt;=15,'VARIABLES MODELO'!$B$14,IF(A114&lt;=50,'VARIABLES MODELO'!$B$15,IF(A114&lt;=80,'VARIABLES MODELO'!$B$16,IF(A114&lt;=120,'VARIABLES MODELO'!$B$17,'VARIABLES MODELO'!$B$18)))))</f>
        <v>0.028</v>
      </c>
      <c r="G114" s="3" t="n">
        <f aca="false">D114*F114</f>
        <v>2.9372</v>
      </c>
      <c r="H114" s="70"/>
      <c r="I114" s="3" t="n">
        <f aca="false">IF(H114="",G114,H114)</f>
        <v>2.9372</v>
      </c>
      <c r="J114" s="71" t="n">
        <f aca="false">IF(A114&lt;=15,'VARIABLES MODELO'!$B$8,'VARIABLES MODELO'!$B$10)</f>
        <v>509.36</v>
      </c>
      <c r="K114" s="71" t="n">
        <f aca="false">I114*J114</f>
        <v>1496.092192</v>
      </c>
      <c r="L114" s="71" t="n">
        <f aca="false">SUM($K$4:K114)</f>
        <v>132503.463702</v>
      </c>
      <c r="M114" s="2" t="n">
        <f aca="false">MROUND(I114*'VARIABLES MODELO'!$B$5,30)</f>
        <v>90</v>
      </c>
      <c r="N114" s="2" t="n">
        <f aca="false">IF(A114&lt;=15,MROUND(M114/'VARIABLES MODELO'!$B$11,0.5),MROUND(M114/'VARIABLES MODELO'!$B$12,0.5))</f>
        <v>3</v>
      </c>
      <c r="O114" s="2" t="n">
        <f aca="false">IF(A114&lt;=15,SUM($M$4:M114)/'VARIABLES MODELO'!$B$11,SUM($M$19:M114)/'VARIABLES MODELO'!$B$12)</f>
        <v>239</v>
      </c>
    </row>
    <row r="115" customFormat="false" ht="14.25" hidden="false" customHeight="false" outlineLevel="0" collapsed="false">
      <c r="A115" s="0" t="n">
        <v>112</v>
      </c>
      <c r="B115" s="68" t="n">
        <f aca="false">'VARIABLES MODELO'!$B$4+A115-1</f>
        <v>46396</v>
      </c>
      <c r="C115" s="0" t="str">
        <f aca="false">IF(A115&lt;=15,"Hiper-Precoz 23%","Precoz 19%")</f>
        <v>Precoz 19%</v>
      </c>
      <c r="D115" s="2" t="n">
        <f aca="false">+D114+E114</f>
        <v>105.55</v>
      </c>
      <c r="E115" s="2" t="n">
        <f aca="false">PRECOZ!C102</f>
        <v>0.7</v>
      </c>
      <c r="F115" s="69" t="n">
        <f aca="false">IF(A115&lt;=5,'VARIABLES MODELO'!$B$13,IF(A115&lt;=15,'VARIABLES MODELO'!$B$14,IF(A115&lt;=50,'VARIABLES MODELO'!$B$15,IF(A115&lt;=80,'VARIABLES MODELO'!$B$16,IF(A115&lt;=120,'VARIABLES MODELO'!$B$17,'VARIABLES MODELO'!$B$18)))))</f>
        <v>0.028</v>
      </c>
      <c r="G115" s="3" t="n">
        <f aca="false">D115*F115</f>
        <v>2.9554</v>
      </c>
      <c r="H115" s="70"/>
      <c r="I115" s="3" t="n">
        <f aca="false">IF(H115="",G115,H115)</f>
        <v>2.9554</v>
      </c>
      <c r="J115" s="71" t="n">
        <f aca="false">IF(A115&lt;=15,'VARIABLES MODELO'!$B$8,'VARIABLES MODELO'!$B$10)</f>
        <v>509.36</v>
      </c>
      <c r="K115" s="71" t="n">
        <f aca="false">I115*J115</f>
        <v>1505.362544</v>
      </c>
      <c r="L115" s="71" t="n">
        <f aca="false">SUM($K$4:K115)</f>
        <v>134008.826246</v>
      </c>
      <c r="M115" s="2" t="n">
        <f aca="false">MROUND(I115*'VARIABLES MODELO'!$B$5,30)</f>
        <v>90</v>
      </c>
      <c r="N115" s="2" t="n">
        <f aca="false">IF(A115&lt;=15,MROUND(M115/'VARIABLES MODELO'!$B$11,0.5),MROUND(M115/'VARIABLES MODELO'!$B$12,0.5))</f>
        <v>3</v>
      </c>
      <c r="O115" s="2" t="n">
        <f aca="false">IF(A115&lt;=15,SUM($M$4:M115)/'VARIABLES MODELO'!$B$11,SUM($M$19:M115)/'VARIABLES MODELO'!$B$12)</f>
        <v>242</v>
      </c>
    </row>
    <row r="116" customFormat="false" ht="14.25" hidden="false" customHeight="false" outlineLevel="0" collapsed="false">
      <c r="A116" s="0" t="n">
        <v>113</v>
      </c>
      <c r="B116" s="68" t="n">
        <f aca="false">'VARIABLES MODELO'!$B$4+A116-1</f>
        <v>46397</v>
      </c>
      <c r="C116" s="0" t="str">
        <f aca="false">IF(A116&lt;=15,"Hiper-Precoz 23%","Precoz 19%")</f>
        <v>Precoz 19%</v>
      </c>
      <c r="D116" s="2" t="n">
        <f aca="false">+D115+E115</f>
        <v>106.25</v>
      </c>
      <c r="E116" s="2" t="n">
        <f aca="false">PRECOZ!C103</f>
        <v>0.7</v>
      </c>
      <c r="F116" s="69" t="n">
        <f aca="false">IF(A116&lt;=5,'VARIABLES MODELO'!$B$13,IF(A116&lt;=15,'VARIABLES MODELO'!$B$14,IF(A116&lt;=50,'VARIABLES MODELO'!$B$15,IF(A116&lt;=80,'VARIABLES MODELO'!$B$16,IF(A116&lt;=120,'VARIABLES MODELO'!$B$17,'VARIABLES MODELO'!$B$18)))))</f>
        <v>0.028</v>
      </c>
      <c r="G116" s="3" t="n">
        <f aca="false">D116*F116</f>
        <v>2.975</v>
      </c>
      <c r="H116" s="70"/>
      <c r="I116" s="3" t="n">
        <f aca="false">IF(H116="",G116,H116)</f>
        <v>2.975</v>
      </c>
      <c r="J116" s="71" t="n">
        <f aca="false">IF(A116&lt;=15,'VARIABLES MODELO'!$B$8,'VARIABLES MODELO'!$B$10)</f>
        <v>509.36</v>
      </c>
      <c r="K116" s="71" t="n">
        <f aca="false">I116*J116</f>
        <v>1515.346</v>
      </c>
      <c r="L116" s="71" t="n">
        <f aca="false">SUM($K$4:K116)</f>
        <v>135524.172246</v>
      </c>
      <c r="M116" s="2" t="n">
        <f aca="false">MROUND(I116*'VARIABLES MODELO'!$B$5,30)</f>
        <v>90</v>
      </c>
      <c r="N116" s="2" t="n">
        <f aca="false">IF(A116&lt;=15,MROUND(M116/'VARIABLES MODELO'!$B$11,0.5),MROUND(M116/'VARIABLES MODELO'!$B$12,0.5))</f>
        <v>3</v>
      </c>
      <c r="O116" s="2" t="n">
        <f aca="false">IF(A116&lt;=15,SUM($M$4:M116)/'VARIABLES MODELO'!$B$11,SUM($M$19:M116)/'VARIABLES MODELO'!$B$12)</f>
        <v>245</v>
      </c>
    </row>
    <row r="117" customFormat="false" ht="14.25" hidden="false" customHeight="false" outlineLevel="0" collapsed="false">
      <c r="A117" s="0" t="n">
        <v>114</v>
      </c>
      <c r="B117" s="68" t="n">
        <f aca="false">'VARIABLES MODELO'!$B$4+A117-1</f>
        <v>46398</v>
      </c>
      <c r="C117" s="0" t="str">
        <f aca="false">IF(A117&lt;=15,"Hiper-Precoz 23%","Precoz 19%")</f>
        <v>Precoz 19%</v>
      </c>
      <c r="D117" s="2" t="n">
        <f aca="false">+D116+E116</f>
        <v>106.95</v>
      </c>
      <c r="E117" s="2" t="n">
        <f aca="false">PRECOZ!C104</f>
        <v>0.7</v>
      </c>
      <c r="F117" s="69" t="n">
        <f aca="false">IF(A117&lt;=5,'VARIABLES MODELO'!$B$13,IF(A117&lt;=15,'VARIABLES MODELO'!$B$14,IF(A117&lt;=50,'VARIABLES MODELO'!$B$15,IF(A117&lt;=80,'VARIABLES MODELO'!$B$16,IF(A117&lt;=120,'VARIABLES MODELO'!$B$17,'VARIABLES MODELO'!$B$18)))))</f>
        <v>0.028</v>
      </c>
      <c r="G117" s="3" t="n">
        <f aca="false">D117*F117</f>
        <v>2.9946</v>
      </c>
      <c r="H117" s="70"/>
      <c r="I117" s="3" t="n">
        <f aca="false">IF(H117="",G117,H117)</f>
        <v>2.9946</v>
      </c>
      <c r="J117" s="71" t="n">
        <f aca="false">IF(A117&lt;=15,'VARIABLES MODELO'!$B$8,'VARIABLES MODELO'!$B$10)</f>
        <v>509.36</v>
      </c>
      <c r="K117" s="71" t="n">
        <f aca="false">I117*J117</f>
        <v>1525.329456</v>
      </c>
      <c r="L117" s="71" t="n">
        <f aca="false">SUM($K$4:K117)</f>
        <v>137049.501702</v>
      </c>
      <c r="M117" s="2" t="n">
        <f aca="false">MROUND(I117*'VARIABLES MODELO'!$B$5,30)</f>
        <v>90</v>
      </c>
      <c r="N117" s="2" t="n">
        <f aca="false">IF(A117&lt;=15,MROUND(M117/'VARIABLES MODELO'!$B$11,0.5),MROUND(M117/'VARIABLES MODELO'!$B$12,0.5))</f>
        <v>3</v>
      </c>
      <c r="O117" s="2" t="n">
        <f aca="false">IF(A117&lt;=15,SUM($M$4:M117)/'VARIABLES MODELO'!$B$11,SUM($M$19:M117)/'VARIABLES MODELO'!$B$12)</f>
        <v>248</v>
      </c>
    </row>
    <row r="118" customFormat="false" ht="14.25" hidden="false" customHeight="false" outlineLevel="0" collapsed="false">
      <c r="A118" s="0" t="n">
        <v>115</v>
      </c>
      <c r="B118" s="68" t="n">
        <f aca="false">'VARIABLES MODELO'!$B$4+A118-1</f>
        <v>46399</v>
      </c>
      <c r="C118" s="0" t="str">
        <f aca="false">IF(A118&lt;=15,"Hiper-Precoz 23%","Precoz 19%")</f>
        <v>Precoz 19%</v>
      </c>
      <c r="D118" s="2" t="n">
        <f aca="false">+D117+E117</f>
        <v>107.65</v>
      </c>
      <c r="E118" s="2" t="n">
        <f aca="false">PRECOZ!C105</f>
        <v>0.7</v>
      </c>
      <c r="F118" s="69" t="n">
        <f aca="false">IF(A118&lt;=5,'VARIABLES MODELO'!$B$13,IF(A118&lt;=15,'VARIABLES MODELO'!$B$14,IF(A118&lt;=50,'VARIABLES MODELO'!$B$15,IF(A118&lt;=80,'VARIABLES MODELO'!$B$16,IF(A118&lt;=120,'VARIABLES MODELO'!$B$17,'VARIABLES MODELO'!$B$18)))))</f>
        <v>0.028</v>
      </c>
      <c r="G118" s="3" t="n">
        <f aca="false">D118*F118</f>
        <v>3.0142</v>
      </c>
      <c r="H118" s="70"/>
      <c r="I118" s="3" t="n">
        <f aca="false">IF(H118="",G118,H118)</f>
        <v>3.0142</v>
      </c>
      <c r="J118" s="71" t="n">
        <f aca="false">IF(A118&lt;=15,'VARIABLES MODELO'!$B$8,'VARIABLES MODELO'!$B$10)</f>
        <v>509.36</v>
      </c>
      <c r="K118" s="71" t="n">
        <f aca="false">I118*J118</f>
        <v>1535.312912</v>
      </c>
      <c r="L118" s="71" t="n">
        <f aca="false">SUM($K$4:K118)</f>
        <v>138584.814614</v>
      </c>
      <c r="M118" s="2" t="n">
        <f aca="false">MROUND(I118*'VARIABLES MODELO'!$B$5,30)</f>
        <v>90</v>
      </c>
      <c r="N118" s="2" t="n">
        <f aca="false">IF(A118&lt;=15,MROUND(M118/'VARIABLES MODELO'!$B$11,0.5),MROUND(M118/'VARIABLES MODELO'!$B$12,0.5))</f>
        <v>3</v>
      </c>
      <c r="O118" s="2" t="n">
        <f aca="false">IF(A118&lt;=15,SUM($M$4:M118)/'VARIABLES MODELO'!$B$11,SUM($M$19:M118)/'VARIABLES MODELO'!$B$12)</f>
        <v>251</v>
      </c>
    </row>
    <row r="119" customFormat="false" ht="14.25" hidden="false" customHeight="false" outlineLevel="0" collapsed="false">
      <c r="A119" s="0" t="n">
        <v>116</v>
      </c>
      <c r="B119" s="68" t="n">
        <f aca="false">'VARIABLES MODELO'!$B$4+A119-1</f>
        <v>46400</v>
      </c>
      <c r="C119" s="0" t="str">
        <f aca="false">IF(A119&lt;=15,"Hiper-Precoz 23%","Precoz 19%")</f>
        <v>Precoz 19%</v>
      </c>
      <c r="D119" s="2" t="n">
        <f aca="false">+D118+E118</f>
        <v>108.35</v>
      </c>
      <c r="E119" s="2" t="n">
        <f aca="false">PRECOZ!C106</f>
        <v>0.7</v>
      </c>
      <c r="F119" s="69" t="n">
        <f aca="false">IF(A119&lt;=5,'VARIABLES MODELO'!$B$13,IF(A119&lt;=15,'VARIABLES MODELO'!$B$14,IF(A119&lt;=50,'VARIABLES MODELO'!$B$15,IF(A119&lt;=80,'VARIABLES MODELO'!$B$16,IF(A119&lt;=120,'VARIABLES MODELO'!$B$17,'VARIABLES MODELO'!$B$18)))))</f>
        <v>0.028</v>
      </c>
      <c r="G119" s="3" t="n">
        <f aca="false">D119*F119</f>
        <v>3.0338</v>
      </c>
      <c r="H119" s="70"/>
      <c r="I119" s="3" t="n">
        <f aca="false">IF(H119="",G119,H119)</f>
        <v>3.0338</v>
      </c>
      <c r="J119" s="71" t="n">
        <f aca="false">IF(A119&lt;=15,'VARIABLES MODELO'!$B$8,'VARIABLES MODELO'!$B$10)</f>
        <v>509.36</v>
      </c>
      <c r="K119" s="71" t="n">
        <f aca="false">I119*J119</f>
        <v>1545.296368</v>
      </c>
      <c r="L119" s="71" t="n">
        <f aca="false">SUM($K$4:K119)</f>
        <v>140130.110982</v>
      </c>
      <c r="M119" s="2" t="n">
        <f aca="false">MROUND(I119*'VARIABLES MODELO'!$B$5,30)</f>
        <v>90</v>
      </c>
      <c r="N119" s="2" t="n">
        <f aca="false">IF(A119&lt;=15,MROUND(M119/'VARIABLES MODELO'!$B$11,0.5),MROUND(M119/'VARIABLES MODELO'!$B$12,0.5))</f>
        <v>3</v>
      </c>
      <c r="O119" s="2" t="n">
        <f aca="false">IF(A119&lt;=15,SUM($M$4:M119)/'VARIABLES MODELO'!$B$11,SUM($M$19:M119)/'VARIABLES MODELO'!$B$12)</f>
        <v>254</v>
      </c>
    </row>
    <row r="120" customFormat="false" ht="14.25" hidden="false" customHeight="false" outlineLevel="0" collapsed="false">
      <c r="A120" s="0" t="n">
        <v>117</v>
      </c>
      <c r="B120" s="68" t="n">
        <f aca="false">'VARIABLES MODELO'!$B$4+A120-1</f>
        <v>46401</v>
      </c>
      <c r="C120" s="0" t="str">
        <f aca="false">IF(A120&lt;=15,"Hiper-Precoz 23%","Precoz 19%")</f>
        <v>Precoz 19%</v>
      </c>
      <c r="D120" s="2" t="n">
        <f aca="false">+D119+E119</f>
        <v>109.05</v>
      </c>
      <c r="E120" s="2" t="n">
        <f aca="false">PRECOZ!C107</f>
        <v>0.7</v>
      </c>
      <c r="F120" s="69" t="n">
        <f aca="false">IF(A120&lt;=5,'VARIABLES MODELO'!$B$13,IF(A120&lt;=15,'VARIABLES MODELO'!$B$14,IF(A120&lt;=50,'VARIABLES MODELO'!$B$15,IF(A120&lt;=80,'VARIABLES MODELO'!$B$16,IF(A120&lt;=120,'VARIABLES MODELO'!$B$17,'VARIABLES MODELO'!$B$18)))))</f>
        <v>0.028</v>
      </c>
      <c r="G120" s="3" t="n">
        <f aca="false">D120*F120</f>
        <v>3.0534</v>
      </c>
      <c r="H120" s="70"/>
      <c r="I120" s="3" t="n">
        <f aca="false">IF(H120="",G120,H120)</f>
        <v>3.0534</v>
      </c>
      <c r="J120" s="71" t="n">
        <f aca="false">IF(A120&lt;=15,'VARIABLES MODELO'!$B$8,'VARIABLES MODELO'!$B$10)</f>
        <v>509.36</v>
      </c>
      <c r="K120" s="71" t="n">
        <f aca="false">I120*J120</f>
        <v>1555.279824</v>
      </c>
      <c r="L120" s="71" t="n">
        <f aca="false">SUM($K$4:K120)</f>
        <v>141685.390806</v>
      </c>
      <c r="M120" s="2" t="n">
        <f aca="false">MROUND(I120*'VARIABLES MODELO'!$B$5,30)</f>
        <v>90</v>
      </c>
      <c r="N120" s="2" t="n">
        <f aca="false">IF(A120&lt;=15,MROUND(M120/'VARIABLES MODELO'!$B$11,0.5),MROUND(M120/'VARIABLES MODELO'!$B$12,0.5))</f>
        <v>3</v>
      </c>
      <c r="O120" s="2" t="n">
        <f aca="false">IF(A120&lt;=15,SUM($M$4:M120)/'VARIABLES MODELO'!$B$11,SUM($M$19:M120)/'VARIABLES MODELO'!$B$12)</f>
        <v>257</v>
      </c>
    </row>
    <row r="121" customFormat="false" ht="14.25" hidden="false" customHeight="false" outlineLevel="0" collapsed="false">
      <c r="A121" s="0" t="n">
        <v>118</v>
      </c>
      <c r="B121" s="68" t="n">
        <f aca="false">'VARIABLES MODELO'!$B$4+A121-1</f>
        <v>46402</v>
      </c>
      <c r="C121" s="0" t="str">
        <f aca="false">IF(A121&lt;=15,"Hiper-Precoz 23%","Precoz 19%")</f>
        <v>Precoz 19%</v>
      </c>
      <c r="D121" s="2" t="n">
        <f aca="false">+D120+E120</f>
        <v>109.75</v>
      </c>
      <c r="E121" s="2" t="n">
        <f aca="false">PRECOZ!C108</f>
        <v>0.7</v>
      </c>
      <c r="F121" s="69" t="n">
        <f aca="false">IF(A121&lt;=5,'VARIABLES MODELO'!$B$13,IF(A121&lt;=15,'VARIABLES MODELO'!$B$14,IF(A121&lt;=50,'VARIABLES MODELO'!$B$15,IF(A121&lt;=80,'VARIABLES MODELO'!$B$16,IF(A121&lt;=120,'VARIABLES MODELO'!$B$17,'VARIABLES MODELO'!$B$18)))))</f>
        <v>0.028</v>
      </c>
      <c r="G121" s="3" t="n">
        <f aca="false">D121*F121</f>
        <v>3.073</v>
      </c>
      <c r="H121" s="70"/>
      <c r="I121" s="3" t="n">
        <f aca="false">IF(H121="",G121,H121)</f>
        <v>3.073</v>
      </c>
      <c r="J121" s="71" t="n">
        <f aca="false">IF(A121&lt;=15,'VARIABLES MODELO'!$B$8,'VARIABLES MODELO'!$B$10)</f>
        <v>509.36</v>
      </c>
      <c r="K121" s="71" t="n">
        <f aca="false">I121*J121</f>
        <v>1565.26328</v>
      </c>
      <c r="L121" s="71" t="n">
        <f aca="false">SUM($K$4:K121)</f>
        <v>143250.654086</v>
      </c>
      <c r="M121" s="2" t="n">
        <f aca="false">MROUND(I121*'VARIABLES MODELO'!$B$5,30)</f>
        <v>90</v>
      </c>
      <c r="N121" s="2" t="n">
        <f aca="false">IF(A121&lt;=15,MROUND(M121/'VARIABLES MODELO'!$B$11,0.5),MROUND(M121/'VARIABLES MODELO'!$B$12,0.5))</f>
        <v>3</v>
      </c>
      <c r="O121" s="2" t="n">
        <f aca="false">IF(A121&lt;=15,SUM($M$4:M121)/'VARIABLES MODELO'!$B$11,SUM($M$19:M121)/'VARIABLES MODELO'!$B$12)</f>
        <v>260</v>
      </c>
    </row>
    <row r="122" customFormat="false" ht="14.25" hidden="false" customHeight="false" outlineLevel="0" collapsed="false">
      <c r="A122" s="0" t="n">
        <v>119</v>
      </c>
      <c r="B122" s="68" t="n">
        <f aca="false">'VARIABLES MODELO'!$B$4+A122-1</f>
        <v>46403</v>
      </c>
      <c r="C122" s="0" t="str">
        <f aca="false">IF(A122&lt;=15,"Hiper-Precoz 23%","Precoz 19%")</f>
        <v>Precoz 19%</v>
      </c>
      <c r="D122" s="2" t="n">
        <f aca="false">+D121+E121</f>
        <v>110.45</v>
      </c>
      <c r="E122" s="2" t="n">
        <f aca="false">PRECOZ!C109</f>
        <v>0.7</v>
      </c>
      <c r="F122" s="69" t="n">
        <f aca="false">IF(A122&lt;=5,'VARIABLES MODELO'!$B$13,IF(A122&lt;=15,'VARIABLES MODELO'!$B$14,IF(A122&lt;=50,'VARIABLES MODELO'!$B$15,IF(A122&lt;=80,'VARIABLES MODELO'!$B$16,IF(A122&lt;=120,'VARIABLES MODELO'!$B$17,'VARIABLES MODELO'!$B$18)))))</f>
        <v>0.028</v>
      </c>
      <c r="G122" s="3" t="n">
        <f aca="false">D122*F122</f>
        <v>3.0926</v>
      </c>
      <c r="H122" s="70"/>
      <c r="I122" s="3" t="n">
        <f aca="false">IF(H122="",G122,H122)</f>
        <v>3.0926</v>
      </c>
      <c r="J122" s="71" t="n">
        <f aca="false">IF(A122&lt;=15,'VARIABLES MODELO'!$B$8,'VARIABLES MODELO'!$B$10)</f>
        <v>509.36</v>
      </c>
      <c r="K122" s="71" t="n">
        <f aca="false">I122*J122</f>
        <v>1575.246736</v>
      </c>
      <c r="L122" s="71" t="n">
        <f aca="false">SUM($K$4:K122)</f>
        <v>144825.900822</v>
      </c>
      <c r="M122" s="2" t="n">
        <f aca="false">MROUND(I122*'VARIABLES MODELO'!$B$5,30)</f>
        <v>90</v>
      </c>
      <c r="N122" s="2" t="n">
        <f aca="false">IF(A122&lt;=15,MROUND(M122/'VARIABLES MODELO'!$B$11,0.5),MROUND(M122/'VARIABLES MODELO'!$B$12,0.5))</f>
        <v>3</v>
      </c>
      <c r="O122" s="2" t="n">
        <f aca="false">IF(A122&lt;=15,SUM($M$4:M122)/'VARIABLES MODELO'!$B$11,SUM($M$19:M122)/'VARIABLES MODELO'!$B$12)</f>
        <v>263</v>
      </c>
    </row>
    <row r="123" customFormat="false" ht="14.25" hidden="false" customHeight="false" outlineLevel="0" collapsed="false">
      <c r="A123" s="0" t="n">
        <v>120</v>
      </c>
      <c r="B123" s="68" t="n">
        <f aca="false">'VARIABLES MODELO'!$B$4+A123-1</f>
        <v>46404</v>
      </c>
      <c r="C123" s="0" t="str">
        <f aca="false">IF(A123&lt;=15,"Hiper-Precoz 23%","Precoz 19%")</f>
        <v>Precoz 19%</v>
      </c>
      <c r="D123" s="2" t="n">
        <f aca="false">+D122+E122</f>
        <v>111.15</v>
      </c>
      <c r="E123" s="2" t="n">
        <f aca="false">PRECOZ!C110</f>
        <v>0.7</v>
      </c>
      <c r="F123" s="69" t="n">
        <f aca="false">IF(A123&lt;=5,'VARIABLES MODELO'!$B$13,IF(A123&lt;=15,'VARIABLES MODELO'!$B$14,IF(A123&lt;=50,'VARIABLES MODELO'!$B$15,IF(A123&lt;=80,'VARIABLES MODELO'!$B$16,IF(A123&lt;=120,'VARIABLES MODELO'!$B$17,'VARIABLES MODELO'!$B$18)))))</f>
        <v>0.028</v>
      </c>
      <c r="G123" s="3" t="n">
        <f aca="false">D123*F123</f>
        <v>3.1122</v>
      </c>
      <c r="H123" s="70"/>
      <c r="I123" s="3" t="n">
        <f aca="false">IF(H123="",G123,H123)</f>
        <v>3.1122</v>
      </c>
      <c r="J123" s="71" t="n">
        <f aca="false">IF(A123&lt;=15,'VARIABLES MODELO'!$B$8,'VARIABLES MODELO'!$B$10)</f>
        <v>509.36</v>
      </c>
      <c r="K123" s="71" t="n">
        <f aca="false">I123*J123</f>
        <v>1585.230192</v>
      </c>
      <c r="L123" s="71" t="n">
        <f aca="false">SUM($K$4:K123)</f>
        <v>146411.131014</v>
      </c>
      <c r="M123" s="2" t="n">
        <f aca="false">MROUND(I123*'VARIABLES MODELO'!$B$5,30)</f>
        <v>90</v>
      </c>
      <c r="N123" s="2" t="n">
        <f aca="false">IF(A123&lt;=15,MROUND(M123/'VARIABLES MODELO'!$B$11,0.5),MROUND(M123/'VARIABLES MODELO'!$B$12,0.5))</f>
        <v>3</v>
      </c>
      <c r="O123" s="2" t="n">
        <f aca="false">IF(A123&lt;=15,SUM($M$4:M123)/'VARIABLES MODELO'!$B$11,SUM($M$19:M123)/'VARIABLES MODELO'!$B$12)</f>
        <v>266</v>
      </c>
    </row>
    <row r="124" customFormat="false" ht="14.25" hidden="false" customHeight="false" outlineLevel="0" collapsed="false">
      <c r="A124" s="0" t="n">
        <v>121</v>
      </c>
      <c r="B124" s="68" t="n">
        <f aca="false">'VARIABLES MODELO'!$B$4+A124-1</f>
        <v>46405</v>
      </c>
      <c r="C124" s="0" t="str">
        <f aca="false">IF(A124&lt;=15,"Hiper-Precoz 23%","Precoz 19%")</f>
        <v>Precoz 19%</v>
      </c>
      <c r="D124" s="2" t="n">
        <f aca="false">+D123+E123</f>
        <v>111.85</v>
      </c>
      <c r="E124" s="2" t="n">
        <f aca="false">PRECOZ!C111</f>
        <v>0.7</v>
      </c>
      <c r="F124" s="69" t="n">
        <f aca="false">IF(A124&lt;=5,'VARIABLES MODELO'!$B$13,IF(A124&lt;=15,'VARIABLES MODELO'!$B$14,IF(A124&lt;=50,'VARIABLES MODELO'!$B$15,IF(A124&lt;=80,'VARIABLES MODELO'!$B$16,IF(A124&lt;=120,'VARIABLES MODELO'!$B$17,'VARIABLES MODELO'!$B$18)))))</f>
        <v>0.025</v>
      </c>
      <c r="G124" s="3" t="n">
        <f aca="false">D124*F124</f>
        <v>2.79625</v>
      </c>
      <c r="H124" s="70"/>
      <c r="I124" s="3" t="n">
        <f aca="false">IF(H124="",G124,H124)</f>
        <v>2.79625</v>
      </c>
      <c r="J124" s="71" t="n">
        <f aca="false">IF(A124&lt;=15,'VARIABLES MODELO'!$B$8,'VARIABLES MODELO'!$B$10)</f>
        <v>509.36</v>
      </c>
      <c r="K124" s="71" t="n">
        <f aca="false">I124*J124</f>
        <v>1424.2979</v>
      </c>
      <c r="L124" s="71" t="n">
        <f aca="false">SUM($K$4:K124)</f>
        <v>147835.428914</v>
      </c>
      <c r="M124" s="2" t="n">
        <f aca="false">MROUND(I124*'VARIABLES MODELO'!$B$5,30)</f>
        <v>90</v>
      </c>
      <c r="N124" s="2" t="n">
        <f aca="false">IF(A124&lt;=15,MROUND(M124/'VARIABLES MODELO'!$B$11,0.5),MROUND(M124/'VARIABLES MODELO'!$B$12,0.5))</f>
        <v>3</v>
      </c>
      <c r="O124" s="2" t="n">
        <f aca="false">IF(A124&lt;=15,SUM($M$4:M124)/'VARIABLES MODELO'!$B$11,SUM($M$19:M124)/'VARIABLES MODELO'!$B$12)</f>
        <v>269</v>
      </c>
    </row>
    <row r="125" customFormat="false" ht="14.25" hidden="false" customHeight="false" outlineLevel="0" collapsed="false">
      <c r="A125" s="0" t="n">
        <v>122</v>
      </c>
      <c r="B125" s="68" t="n">
        <f aca="false">'VARIABLES MODELO'!$B$4+A125-1</f>
        <v>46406</v>
      </c>
      <c r="C125" s="0" t="str">
        <f aca="false">IF(A125&lt;=15,"Hiper-Precoz 23%","Precoz 19%")</f>
        <v>Precoz 19%</v>
      </c>
      <c r="D125" s="2" t="n">
        <f aca="false">+D124+E124</f>
        <v>112.55</v>
      </c>
      <c r="E125" s="2" t="n">
        <f aca="false">PRECOZ!C112</f>
        <v>0.7</v>
      </c>
      <c r="F125" s="69" t="n">
        <f aca="false">IF(A125&lt;=5,'VARIABLES MODELO'!$B$13,IF(A125&lt;=15,'VARIABLES MODELO'!$B$14,IF(A125&lt;=50,'VARIABLES MODELO'!$B$15,IF(A125&lt;=80,'VARIABLES MODELO'!$B$16,IF(A125&lt;=120,'VARIABLES MODELO'!$B$17,'VARIABLES MODELO'!$B$18)))))</f>
        <v>0.025</v>
      </c>
      <c r="G125" s="3" t="n">
        <f aca="false">D125*F125</f>
        <v>2.81375</v>
      </c>
      <c r="H125" s="70"/>
      <c r="I125" s="3" t="n">
        <f aca="false">IF(H125="",G125,H125)</f>
        <v>2.81375</v>
      </c>
      <c r="J125" s="71" t="n">
        <f aca="false">IF(A125&lt;=15,'VARIABLES MODELO'!$B$8,'VARIABLES MODELO'!$B$10)</f>
        <v>509.36</v>
      </c>
      <c r="K125" s="71" t="n">
        <f aca="false">I125*J125</f>
        <v>1433.2117</v>
      </c>
      <c r="L125" s="71" t="n">
        <f aca="false">SUM($K$4:K125)</f>
        <v>149268.640614</v>
      </c>
      <c r="M125" s="2" t="n">
        <f aca="false">MROUND(I125*'VARIABLES MODELO'!$B$5,30)</f>
        <v>90</v>
      </c>
      <c r="N125" s="2" t="n">
        <f aca="false">IF(A125&lt;=15,MROUND(M125/'VARIABLES MODELO'!$B$11,0.5),MROUND(M125/'VARIABLES MODELO'!$B$12,0.5))</f>
        <v>3</v>
      </c>
      <c r="O125" s="2" t="n">
        <f aca="false">IF(A125&lt;=15,SUM($M$4:M125)/'VARIABLES MODELO'!$B$11,SUM($M$19:M125)/'VARIABLES MODELO'!$B$12)</f>
        <v>272</v>
      </c>
    </row>
    <row r="126" customFormat="false" ht="14.25" hidden="false" customHeight="false" outlineLevel="0" collapsed="false">
      <c r="A126" s="0" t="n">
        <v>123</v>
      </c>
      <c r="B126" s="68" t="n">
        <f aca="false">'VARIABLES MODELO'!$B$4+A126-1</f>
        <v>46407</v>
      </c>
      <c r="C126" s="0" t="str">
        <f aca="false">IF(A126&lt;=15,"Hiper-Precoz 23%","Precoz 19%")</f>
        <v>Precoz 19%</v>
      </c>
      <c r="D126" s="2" t="n">
        <f aca="false">+D125+E125</f>
        <v>113.25</v>
      </c>
      <c r="E126" s="2" t="n">
        <f aca="false">PRECOZ!C113</f>
        <v>0.7</v>
      </c>
      <c r="F126" s="69" t="n">
        <f aca="false">IF(A126&lt;=5,'VARIABLES MODELO'!$B$13,IF(A126&lt;=15,'VARIABLES MODELO'!$B$14,IF(A126&lt;=50,'VARIABLES MODELO'!$B$15,IF(A126&lt;=80,'VARIABLES MODELO'!$B$16,IF(A126&lt;=120,'VARIABLES MODELO'!$B$17,'VARIABLES MODELO'!$B$18)))))</f>
        <v>0.025</v>
      </c>
      <c r="G126" s="3" t="n">
        <f aca="false">D126*F126</f>
        <v>2.83125</v>
      </c>
      <c r="H126" s="70"/>
      <c r="I126" s="3" t="n">
        <f aca="false">IF(H126="",G126,H126)</f>
        <v>2.83125</v>
      </c>
      <c r="J126" s="71" t="n">
        <f aca="false">IF(A126&lt;=15,'VARIABLES MODELO'!$B$8,'VARIABLES MODELO'!$B$10)</f>
        <v>509.36</v>
      </c>
      <c r="K126" s="71" t="n">
        <f aca="false">I126*J126</f>
        <v>1442.1255</v>
      </c>
      <c r="L126" s="71" t="n">
        <f aca="false">SUM($K$4:K126)</f>
        <v>150710.766114</v>
      </c>
      <c r="M126" s="2" t="n">
        <f aca="false">MROUND(I126*'VARIABLES MODELO'!$B$5,30)</f>
        <v>90</v>
      </c>
      <c r="N126" s="2" t="n">
        <f aca="false">IF(A126&lt;=15,MROUND(M126/'VARIABLES MODELO'!$B$11,0.5),MROUND(M126/'VARIABLES MODELO'!$B$12,0.5))</f>
        <v>3</v>
      </c>
      <c r="O126" s="2" t="n">
        <f aca="false">IF(A126&lt;=15,SUM($M$4:M126)/'VARIABLES MODELO'!$B$11,SUM($M$19:M126)/'VARIABLES MODELO'!$B$12)</f>
        <v>275</v>
      </c>
    </row>
    <row r="127" customFormat="false" ht="14.25" hidden="false" customHeight="false" outlineLevel="0" collapsed="false">
      <c r="A127" s="0" t="n">
        <v>124</v>
      </c>
      <c r="B127" s="68" t="n">
        <f aca="false">'VARIABLES MODELO'!$B$4+A127-1</f>
        <v>46408</v>
      </c>
      <c r="C127" s="0" t="str">
        <f aca="false">IF(A127&lt;=15,"Hiper-Precoz 23%","Precoz 19%")</f>
        <v>Precoz 19%</v>
      </c>
      <c r="D127" s="2" t="n">
        <f aca="false">+D126+E126</f>
        <v>113.95</v>
      </c>
      <c r="E127" s="2" t="n">
        <f aca="false">PRECOZ!C114</f>
        <v>0.7</v>
      </c>
      <c r="F127" s="69" t="n">
        <f aca="false">IF(A127&lt;=5,'VARIABLES MODELO'!$B$13,IF(A127&lt;=15,'VARIABLES MODELO'!$B$14,IF(A127&lt;=50,'VARIABLES MODELO'!$B$15,IF(A127&lt;=80,'VARIABLES MODELO'!$B$16,IF(A127&lt;=120,'VARIABLES MODELO'!$B$17,'VARIABLES MODELO'!$B$18)))))</f>
        <v>0.025</v>
      </c>
      <c r="G127" s="3" t="n">
        <f aca="false">D127*F127</f>
        <v>2.84875</v>
      </c>
      <c r="H127" s="70"/>
      <c r="I127" s="3" t="n">
        <f aca="false">IF(H127="",G127,H127)</f>
        <v>2.84875</v>
      </c>
      <c r="J127" s="71" t="n">
        <f aca="false">IF(A127&lt;=15,'VARIABLES MODELO'!$B$8,'VARIABLES MODELO'!$B$10)</f>
        <v>509.36</v>
      </c>
      <c r="K127" s="71" t="n">
        <f aca="false">I127*J127</f>
        <v>1451.0393</v>
      </c>
      <c r="L127" s="71" t="n">
        <f aca="false">SUM($K$4:K127)</f>
        <v>152161.805414</v>
      </c>
      <c r="M127" s="2" t="n">
        <f aca="false">MROUND(I127*'VARIABLES MODELO'!$B$5,30)</f>
        <v>90</v>
      </c>
      <c r="N127" s="2" t="n">
        <f aca="false">IF(A127&lt;=15,MROUND(M127/'VARIABLES MODELO'!$B$11,0.5),MROUND(M127/'VARIABLES MODELO'!$B$12,0.5))</f>
        <v>3</v>
      </c>
      <c r="O127" s="2" t="n">
        <f aca="false">IF(A127&lt;=15,SUM($M$4:M127)/'VARIABLES MODELO'!$B$11,SUM($M$19:M127)/'VARIABLES MODELO'!$B$12)</f>
        <v>278</v>
      </c>
    </row>
    <row r="128" customFormat="false" ht="14.25" hidden="false" customHeight="false" outlineLevel="0" collapsed="false">
      <c r="A128" s="0" t="n">
        <v>125</v>
      </c>
      <c r="B128" s="68" t="n">
        <f aca="false">'VARIABLES MODELO'!$B$4+A128-1</f>
        <v>46409</v>
      </c>
      <c r="C128" s="0" t="str">
        <f aca="false">IF(A128&lt;=15,"Hiper-Precoz 23%","Precoz 19%")</f>
        <v>Precoz 19%</v>
      </c>
      <c r="D128" s="2" t="n">
        <f aca="false">+D127+E127</f>
        <v>114.65</v>
      </c>
      <c r="E128" s="2" t="n">
        <f aca="false">PRECOZ!C115</f>
        <v>0.7</v>
      </c>
      <c r="F128" s="69" t="n">
        <f aca="false">IF(A128&lt;=5,'VARIABLES MODELO'!$B$13,IF(A128&lt;=15,'VARIABLES MODELO'!$B$14,IF(A128&lt;=50,'VARIABLES MODELO'!$B$15,IF(A128&lt;=80,'VARIABLES MODELO'!$B$16,IF(A128&lt;=120,'VARIABLES MODELO'!$B$17,'VARIABLES MODELO'!$B$18)))))</f>
        <v>0.025</v>
      </c>
      <c r="G128" s="3" t="n">
        <f aca="false">D128*F128</f>
        <v>2.86625</v>
      </c>
      <c r="H128" s="70"/>
      <c r="I128" s="3" t="n">
        <f aca="false">IF(H128="",G128,H128)</f>
        <v>2.86625</v>
      </c>
      <c r="J128" s="71" t="n">
        <f aca="false">IF(A128&lt;=15,'VARIABLES MODELO'!$B$8,'VARIABLES MODELO'!$B$10)</f>
        <v>509.36</v>
      </c>
      <c r="K128" s="71" t="n">
        <f aca="false">I128*J128</f>
        <v>1459.9531</v>
      </c>
      <c r="L128" s="71" t="n">
        <f aca="false">SUM($K$4:K128)</f>
        <v>153621.758514</v>
      </c>
      <c r="M128" s="2" t="n">
        <f aca="false">MROUND(I128*'VARIABLES MODELO'!$B$5,30)</f>
        <v>90</v>
      </c>
      <c r="N128" s="2" t="n">
        <f aca="false">IF(A128&lt;=15,MROUND(M128/'VARIABLES MODELO'!$B$11,0.5),MROUND(M128/'VARIABLES MODELO'!$B$12,0.5))</f>
        <v>3</v>
      </c>
      <c r="O128" s="2" t="n">
        <f aca="false">IF(A128&lt;=15,SUM($M$4:M128)/'VARIABLES MODELO'!$B$11,SUM($M$19:M128)/'VARIABLES MODELO'!$B$12)</f>
        <v>281</v>
      </c>
    </row>
    <row r="129" customFormat="false" ht="14.25" hidden="false" customHeight="false" outlineLevel="0" collapsed="false">
      <c r="A129" s="0" t="n">
        <v>126</v>
      </c>
      <c r="B129" s="68" t="n">
        <f aca="false">'VARIABLES MODELO'!$B$4+A129-1</f>
        <v>46410</v>
      </c>
      <c r="C129" s="0" t="str">
        <f aca="false">IF(A129&lt;=15,"Hiper-Precoz 23%","Precoz 19%")</f>
        <v>Precoz 19%</v>
      </c>
      <c r="D129" s="2" t="n">
        <f aca="false">+D128+E128</f>
        <v>115.35</v>
      </c>
      <c r="E129" s="2" t="n">
        <f aca="false">PRECOZ!C116</f>
        <v>0.7</v>
      </c>
      <c r="F129" s="69" t="n">
        <f aca="false">IF(A129&lt;=5,'VARIABLES MODELO'!$B$13,IF(A129&lt;=15,'VARIABLES MODELO'!$B$14,IF(A129&lt;=50,'VARIABLES MODELO'!$B$15,IF(A129&lt;=80,'VARIABLES MODELO'!$B$16,IF(A129&lt;=120,'VARIABLES MODELO'!$B$17,'VARIABLES MODELO'!$B$18)))))</f>
        <v>0.025</v>
      </c>
      <c r="G129" s="3" t="n">
        <f aca="false">D129*F129</f>
        <v>2.88375</v>
      </c>
      <c r="H129" s="70"/>
      <c r="I129" s="3" t="n">
        <f aca="false">IF(H129="",G129,H129)</f>
        <v>2.88375</v>
      </c>
      <c r="J129" s="71" t="n">
        <f aca="false">IF(A129&lt;=15,'VARIABLES MODELO'!$B$8,'VARIABLES MODELO'!$B$10)</f>
        <v>509.36</v>
      </c>
      <c r="K129" s="71" t="n">
        <f aca="false">I129*J129</f>
        <v>1468.8669</v>
      </c>
      <c r="L129" s="71" t="n">
        <f aca="false">SUM($K$4:K129)</f>
        <v>155090.625414</v>
      </c>
      <c r="M129" s="2" t="n">
        <f aca="false">MROUND(I129*'VARIABLES MODELO'!$B$5,30)</f>
        <v>90</v>
      </c>
      <c r="N129" s="2" t="n">
        <f aca="false">IF(A129&lt;=15,MROUND(M129/'VARIABLES MODELO'!$B$11,0.5),MROUND(M129/'VARIABLES MODELO'!$B$12,0.5))</f>
        <v>3</v>
      </c>
      <c r="O129" s="2" t="n">
        <f aca="false">IF(A129&lt;=15,SUM($M$4:M129)/'VARIABLES MODELO'!$B$11,SUM($M$19:M129)/'VARIABLES MODELO'!$B$12)</f>
        <v>284</v>
      </c>
    </row>
    <row r="130" customFormat="false" ht="14.25" hidden="false" customHeight="false" outlineLevel="0" collapsed="false">
      <c r="A130" s="0" t="n">
        <v>127</v>
      </c>
      <c r="B130" s="68" t="n">
        <f aca="false">'VARIABLES MODELO'!$B$4+A130-1</f>
        <v>46411</v>
      </c>
      <c r="C130" s="0" t="str">
        <f aca="false">IF(A130&lt;=15,"Hiper-Precoz 23%","Precoz 19%")</f>
        <v>Precoz 19%</v>
      </c>
      <c r="D130" s="2" t="n">
        <f aca="false">+D129+E129</f>
        <v>116.05</v>
      </c>
      <c r="E130" s="2" t="n">
        <f aca="false">PRECOZ!C117</f>
        <v>0.7</v>
      </c>
      <c r="F130" s="69" t="n">
        <f aca="false">IF(A130&lt;=5,'VARIABLES MODELO'!$B$13,IF(A130&lt;=15,'VARIABLES MODELO'!$B$14,IF(A130&lt;=50,'VARIABLES MODELO'!$B$15,IF(A130&lt;=80,'VARIABLES MODELO'!$B$16,IF(A130&lt;=120,'VARIABLES MODELO'!$B$17,'VARIABLES MODELO'!$B$18)))))</f>
        <v>0.025</v>
      </c>
      <c r="G130" s="3" t="n">
        <f aca="false">D130*F130</f>
        <v>2.90125</v>
      </c>
      <c r="H130" s="70"/>
      <c r="I130" s="3" t="n">
        <f aca="false">IF(H130="",G130,H130)</f>
        <v>2.90125</v>
      </c>
      <c r="J130" s="71" t="n">
        <f aca="false">IF(A130&lt;=15,'VARIABLES MODELO'!$B$8,'VARIABLES MODELO'!$B$10)</f>
        <v>509.36</v>
      </c>
      <c r="K130" s="71" t="n">
        <f aca="false">I130*J130</f>
        <v>1477.7807</v>
      </c>
      <c r="L130" s="71" t="n">
        <f aca="false">SUM($K$4:K130)</f>
        <v>156568.406114</v>
      </c>
      <c r="M130" s="2" t="n">
        <f aca="false">MROUND(I130*'VARIABLES MODELO'!$B$5,30)</f>
        <v>90</v>
      </c>
      <c r="N130" s="2" t="n">
        <f aca="false">IF(A130&lt;=15,MROUND(M130/'VARIABLES MODELO'!$B$11,0.5),MROUND(M130/'VARIABLES MODELO'!$B$12,0.5))</f>
        <v>3</v>
      </c>
      <c r="O130" s="2" t="n">
        <f aca="false">IF(A130&lt;=15,SUM($M$4:M130)/'VARIABLES MODELO'!$B$11,SUM($M$19:M130)/'VARIABLES MODELO'!$B$12)</f>
        <v>287</v>
      </c>
    </row>
    <row r="131" customFormat="false" ht="14.25" hidden="false" customHeight="false" outlineLevel="0" collapsed="false">
      <c r="A131" s="0" t="n">
        <v>128</v>
      </c>
      <c r="B131" s="68" t="n">
        <f aca="false">'VARIABLES MODELO'!$B$4+A131-1</f>
        <v>46412</v>
      </c>
      <c r="C131" s="0" t="str">
        <f aca="false">IF(A131&lt;=15,"Hiper-Precoz 23%","Precoz 19%")</f>
        <v>Precoz 19%</v>
      </c>
      <c r="D131" s="2" t="n">
        <f aca="false">+D130+E130</f>
        <v>116.75</v>
      </c>
      <c r="E131" s="2" t="n">
        <f aca="false">PRECOZ!C118</f>
        <v>0.7</v>
      </c>
      <c r="F131" s="69" t="n">
        <f aca="false">IF(A131&lt;=5,'VARIABLES MODELO'!$B$13,IF(A131&lt;=15,'VARIABLES MODELO'!$B$14,IF(A131&lt;=50,'VARIABLES MODELO'!$B$15,IF(A131&lt;=80,'VARIABLES MODELO'!$B$16,IF(A131&lt;=120,'VARIABLES MODELO'!$B$17,'VARIABLES MODELO'!$B$18)))))</f>
        <v>0.025</v>
      </c>
      <c r="G131" s="3" t="n">
        <f aca="false">D131*F131</f>
        <v>2.91875</v>
      </c>
      <c r="H131" s="70"/>
      <c r="I131" s="3" t="n">
        <f aca="false">IF(H131="",G131,H131)</f>
        <v>2.91875</v>
      </c>
      <c r="J131" s="71" t="n">
        <f aca="false">IF(A131&lt;=15,'VARIABLES MODELO'!$B$8,'VARIABLES MODELO'!$B$10)</f>
        <v>509.36</v>
      </c>
      <c r="K131" s="71" t="n">
        <f aca="false">I131*J131</f>
        <v>1486.6945</v>
      </c>
      <c r="L131" s="71" t="n">
        <f aca="false">SUM($K$4:K131)</f>
        <v>158055.100614</v>
      </c>
      <c r="M131" s="2" t="n">
        <f aca="false">MROUND(I131*'VARIABLES MODELO'!$B$5,30)</f>
        <v>90</v>
      </c>
      <c r="N131" s="2" t="n">
        <f aca="false">IF(A131&lt;=15,MROUND(M131/'VARIABLES MODELO'!$B$11,0.5),MROUND(M131/'VARIABLES MODELO'!$B$12,0.5))</f>
        <v>3</v>
      </c>
      <c r="O131" s="2" t="n">
        <f aca="false">IF(A131&lt;=15,SUM($M$4:M131)/'VARIABLES MODELO'!$B$11,SUM($M$19:M131)/'VARIABLES MODELO'!$B$12)</f>
        <v>290</v>
      </c>
    </row>
    <row r="132" customFormat="false" ht="14.25" hidden="false" customHeight="false" outlineLevel="0" collapsed="false">
      <c r="A132" s="0" t="n">
        <v>129</v>
      </c>
      <c r="B132" s="68" t="n">
        <f aca="false">'VARIABLES MODELO'!$B$4+A132-1</f>
        <v>46413</v>
      </c>
      <c r="C132" s="0" t="str">
        <f aca="false">IF(A132&lt;=15,"Hiper-Precoz 23%","Precoz 19%")</f>
        <v>Precoz 19%</v>
      </c>
      <c r="D132" s="2" t="n">
        <f aca="false">+D131+E131</f>
        <v>117.45</v>
      </c>
      <c r="E132" s="2" t="n">
        <f aca="false">PRECOZ!C119</f>
        <v>0.7</v>
      </c>
      <c r="F132" s="69" t="n">
        <f aca="false">IF(A132&lt;=5,'VARIABLES MODELO'!$B$13,IF(A132&lt;=15,'VARIABLES MODELO'!$B$14,IF(A132&lt;=50,'VARIABLES MODELO'!$B$15,IF(A132&lt;=80,'VARIABLES MODELO'!$B$16,IF(A132&lt;=120,'VARIABLES MODELO'!$B$17,'VARIABLES MODELO'!$B$18)))))</f>
        <v>0.025</v>
      </c>
      <c r="G132" s="3" t="n">
        <f aca="false">D132*F132</f>
        <v>2.93625</v>
      </c>
      <c r="H132" s="70"/>
      <c r="I132" s="3" t="n">
        <f aca="false">IF(H132="",G132,H132)</f>
        <v>2.93625</v>
      </c>
      <c r="J132" s="71" t="n">
        <f aca="false">IF(A132&lt;=15,'VARIABLES MODELO'!$B$8,'VARIABLES MODELO'!$B$10)</f>
        <v>509.36</v>
      </c>
      <c r="K132" s="71" t="n">
        <f aca="false">I132*J132</f>
        <v>1495.6083</v>
      </c>
      <c r="L132" s="71" t="n">
        <f aca="false">SUM($K$4:K132)</f>
        <v>159550.708914</v>
      </c>
      <c r="M132" s="2" t="n">
        <f aca="false">MROUND(I132*'VARIABLES MODELO'!$B$5,30)</f>
        <v>90</v>
      </c>
      <c r="N132" s="2" t="n">
        <f aca="false">IF(A132&lt;=15,MROUND(M132/'VARIABLES MODELO'!$B$11,0.5),MROUND(M132/'VARIABLES MODELO'!$B$12,0.5))</f>
        <v>3</v>
      </c>
      <c r="O132" s="2" t="n">
        <f aca="false">IF(A132&lt;=15,SUM($M$4:M132)/'VARIABLES MODELO'!$B$11,SUM($M$19:M132)/'VARIABLES MODELO'!$B$12)</f>
        <v>293</v>
      </c>
    </row>
    <row r="133" customFormat="false" ht="14.25" hidden="false" customHeight="false" outlineLevel="0" collapsed="false">
      <c r="A133" s="0" t="n">
        <v>130</v>
      </c>
      <c r="B133" s="68" t="n">
        <f aca="false">'VARIABLES MODELO'!$B$4+A133-1</f>
        <v>46414</v>
      </c>
      <c r="C133" s="0" t="str">
        <f aca="false">IF(A133&lt;=15,"Hiper-Precoz 23%","Precoz 19%")</f>
        <v>Precoz 19%</v>
      </c>
      <c r="D133" s="2" t="n">
        <f aca="false">+D132+E132</f>
        <v>118.15</v>
      </c>
      <c r="E133" s="2" t="n">
        <f aca="false">PRECOZ!C120</f>
        <v>0.7</v>
      </c>
      <c r="F133" s="69" t="n">
        <f aca="false">IF(A133&lt;=5,'VARIABLES MODELO'!$B$13,IF(A133&lt;=15,'VARIABLES MODELO'!$B$14,IF(A133&lt;=50,'VARIABLES MODELO'!$B$15,IF(A133&lt;=80,'VARIABLES MODELO'!$B$16,IF(A133&lt;=120,'VARIABLES MODELO'!$B$17,'VARIABLES MODELO'!$B$18)))))</f>
        <v>0.025</v>
      </c>
      <c r="G133" s="3" t="n">
        <f aca="false">D133*F133</f>
        <v>2.95375</v>
      </c>
      <c r="H133" s="70"/>
      <c r="I133" s="3" t="n">
        <f aca="false">IF(H133="",G133,H133)</f>
        <v>2.95375</v>
      </c>
      <c r="J133" s="71" t="n">
        <f aca="false">IF(A133&lt;=15,'VARIABLES MODELO'!$B$8,'VARIABLES MODELO'!$B$10)</f>
        <v>509.36</v>
      </c>
      <c r="K133" s="71" t="n">
        <f aca="false">I133*J133</f>
        <v>1504.5221</v>
      </c>
      <c r="L133" s="71" t="n">
        <f aca="false">SUM($K$4:K133)</f>
        <v>161055.231014</v>
      </c>
      <c r="M133" s="2" t="n">
        <f aca="false">MROUND(I133*'VARIABLES MODELO'!$B$5,30)</f>
        <v>90</v>
      </c>
      <c r="N133" s="2" t="n">
        <f aca="false">IF(A133&lt;=15,MROUND(M133/'VARIABLES MODELO'!$B$11,0.5),MROUND(M133/'VARIABLES MODELO'!$B$12,0.5))</f>
        <v>3</v>
      </c>
      <c r="O133" s="2" t="n">
        <f aca="false">IF(A133&lt;=15,SUM($M$4:M133)/'VARIABLES MODELO'!$B$11,SUM($M$19:M133)/'VARIABLES MODELO'!$B$12)</f>
        <v>296</v>
      </c>
    </row>
    <row r="134" customFormat="false" ht="14.25" hidden="false" customHeight="false" outlineLevel="0" collapsed="false">
      <c r="A134" s="0" t="n">
        <v>131</v>
      </c>
      <c r="B134" s="68" t="n">
        <f aca="false">'VARIABLES MODELO'!$B$4+A134-1</f>
        <v>46415</v>
      </c>
      <c r="C134" s="0" t="str">
        <f aca="false">IF(A134&lt;=15,"Hiper-Precoz 23%","Precoz 19%")</f>
        <v>Precoz 19%</v>
      </c>
      <c r="D134" s="2" t="n">
        <f aca="false">+D133+E133</f>
        <v>118.85</v>
      </c>
      <c r="E134" s="2" t="n">
        <f aca="false">PRECOZ!C121</f>
        <v>0.7</v>
      </c>
      <c r="F134" s="69" t="n">
        <f aca="false">IF(A134&lt;=5,'VARIABLES MODELO'!$B$13,IF(A134&lt;=15,'VARIABLES MODELO'!$B$14,IF(A134&lt;=50,'VARIABLES MODELO'!$B$15,IF(A134&lt;=80,'VARIABLES MODELO'!$B$16,IF(A134&lt;=120,'VARIABLES MODELO'!$B$17,'VARIABLES MODELO'!$B$18)))))</f>
        <v>0.025</v>
      </c>
      <c r="G134" s="3" t="n">
        <f aca="false">D134*F134</f>
        <v>2.97125</v>
      </c>
      <c r="H134" s="70"/>
      <c r="I134" s="3" t="n">
        <f aca="false">IF(H134="",G134,H134)</f>
        <v>2.97125</v>
      </c>
      <c r="J134" s="71" t="n">
        <f aca="false">IF(A134&lt;=15,'VARIABLES MODELO'!$B$8,'VARIABLES MODELO'!$B$10)</f>
        <v>509.36</v>
      </c>
      <c r="K134" s="71" t="n">
        <f aca="false">I134*J134</f>
        <v>1513.4359</v>
      </c>
      <c r="L134" s="71" t="n">
        <f aca="false">SUM($K$4:K134)</f>
        <v>162568.666914</v>
      </c>
      <c r="M134" s="2" t="n">
        <f aca="false">MROUND(I134*'VARIABLES MODELO'!$B$5,30)</f>
        <v>90</v>
      </c>
      <c r="N134" s="2" t="n">
        <f aca="false">IF(A134&lt;=15,MROUND(M134/'VARIABLES MODELO'!$B$11,0.5),MROUND(M134/'VARIABLES MODELO'!$B$12,0.5))</f>
        <v>3</v>
      </c>
      <c r="O134" s="2" t="n">
        <f aca="false">IF(A134&lt;=15,SUM($M$4:M134)/'VARIABLES MODELO'!$B$11,SUM($M$19:M134)/'VARIABLES MODELO'!$B$12)</f>
        <v>299</v>
      </c>
    </row>
    <row r="135" customFormat="false" ht="14.25" hidden="false" customHeight="false" outlineLevel="0" collapsed="false">
      <c r="A135" s="0" t="n">
        <v>132</v>
      </c>
      <c r="B135" s="68" t="n">
        <f aca="false">'VARIABLES MODELO'!$B$4+A135-1</f>
        <v>46416</v>
      </c>
      <c r="C135" s="0" t="str">
        <f aca="false">IF(A135&lt;=15,"Hiper-Precoz 23%","Precoz 19%")</f>
        <v>Precoz 19%</v>
      </c>
      <c r="D135" s="2" t="n">
        <f aca="false">+D134+E134</f>
        <v>119.55</v>
      </c>
      <c r="E135" s="2" t="n">
        <f aca="false">PRECOZ!C122</f>
        <v>0.7</v>
      </c>
      <c r="F135" s="69" t="n">
        <f aca="false">IF(A135&lt;=5,'VARIABLES MODELO'!$B$13,IF(A135&lt;=15,'VARIABLES MODELO'!$B$14,IF(A135&lt;=50,'VARIABLES MODELO'!$B$15,IF(A135&lt;=80,'VARIABLES MODELO'!$B$16,IF(A135&lt;=120,'VARIABLES MODELO'!$B$17,'VARIABLES MODELO'!$B$18)))))</f>
        <v>0.025</v>
      </c>
      <c r="G135" s="3" t="n">
        <f aca="false">D135*F135</f>
        <v>2.98875</v>
      </c>
      <c r="H135" s="70"/>
      <c r="I135" s="3" t="n">
        <f aca="false">IF(H135="",G135,H135)</f>
        <v>2.98875</v>
      </c>
      <c r="J135" s="71" t="n">
        <f aca="false">IF(A135&lt;=15,'VARIABLES MODELO'!$B$8,'VARIABLES MODELO'!$B$10)</f>
        <v>509.36</v>
      </c>
      <c r="K135" s="71" t="n">
        <f aca="false">I135*J135</f>
        <v>1522.3497</v>
      </c>
      <c r="L135" s="71" t="n">
        <f aca="false">SUM($K$4:K135)</f>
        <v>164091.016614</v>
      </c>
      <c r="M135" s="2" t="n">
        <f aca="false">MROUND(I135*'VARIABLES MODELO'!$B$5,30)</f>
        <v>90</v>
      </c>
      <c r="N135" s="2" t="n">
        <f aca="false">IF(A135&lt;=15,MROUND(M135/'VARIABLES MODELO'!$B$11,0.5),MROUND(M135/'VARIABLES MODELO'!$B$12,0.5))</f>
        <v>3</v>
      </c>
      <c r="O135" s="2" t="n">
        <f aca="false">IF(A135&lt;=15,SUM($M$4:M135)/'VARIABLES MODELO'!$B$11,SUM($M$19:M135)/'VARIABLES MODELO'!$B$12)</f>
        <v>302</v>
      </c>
    </row>
    <row r="136" customFormat="false" ht="14.25" hidden="false" customHeight="false" outlineLevel="0" collapsed="false">
      <c r="A136" s="0" t="n">
        <v>133</v>
      </c>
      <c r="B136" s="68" t="n">
        <f aca="false">'VARIABLES MODELO'!$B$4+A136-1</f>
        <v>46417</v>
      </c>
      <c r="C136" s="0" t="str">
        <f aca="false">IF(A136&lt;=15,"Hiper-Precoz 23%","Precoz 19%")</f>
        <v>Precoz 19%</v>
      </c>
      <c r="D136" s="2" t="n">
        <f aca="false">+D135+E135</f>
        <v>120.25</v>
      </c>
      <c r="E136" s="2" t="n">
        <f aca="false">PRECOZ!C123</f>
        <v>0.7</v>
      </c>
      <c r="F136" s="69" t="n">
        <f aca="false">IF(A136&lt;=5,'VARIABLES MODELO'!$B$13,IF(A136&lt;=15,'VARIABLES MODELO'!$B$14,IF(A136&lt;=50,'VARIABLES MODELO'!$B$15,IF(A136&lt;=80,'VARIABLES MODELO'!$B$16,IF(A136&lt;=120,'VARIABLES MODELO'!$B$17,'VARIABLES MODELO'!$B$18)))))</f>
        <v>0.025</v>
      </c>
      <c r="G136" s="3" t="n">
        <f aca="false">D136*F136</f>
        <v>3.00625</v>
      </c>
      <c r="H136" s="70"/>
      <c r="I136" s="3" t="n">
        <f aca="false">IF(H136="",G136,H136)</f>
        <v>3.00625</v>
      </c>
      <c r="J136" s="71" t="n">
        <f aca="false">IF(A136&lt;=15,'VARIABLES MODELO'!$B$8,'VARIABLES MODELO'!$B$10)</f>
        <v>509.36</v>
      </c>
      <c r="K136" s="71" t="n">
        <f aca="false">I136*J136</f>
        <v>1531.2635</v>
      </c>
      <c r="L136" s="71" t="n">
        <f aca="false">SUM($K$4:K136)</f>
        <v>165622.280114</v>
      </c>
      <c r="M136" s="2" t="n">
        <f aca="false">MROUND(I136*'VARIABLES MODELO'!$B$5,30)</f>
        <v>90</v>
      </c>
      <c r="N136" s="2" t="n">
        <f aca="false">IF(A136&lt;=15,MROUND(M136/'VARIABLES MODELO'!$B$11,0.5),MROUND(M136/'VARIABLES MODELO'!$B$12,0.5))</f>
        <v>3</v>
      </c>
      <c r="O136" s="2" t="n">
        <f aca="false">IF(A136&lt;=15,SUM($M$4:M136)/'VARIABLES MODELO'!$B$11,SUM($M$19:M136)/'VARIABLES MODELO'!$B$12)</f>
        <v>305</v>
      </c>
    </row>
    <row r="137" customFormat="false" ht="14.25" hidden="false" customHeight="false" outlineLevel="0" collapsed="false">
      <c r="A137" s="0" t="n">
        <v>134</v>
      </c>
      <c r="B137" s="68" t="n">
        <f aca="false">'VARIABLES MODELO'!$B$4+A137-1</f>
        <v>46418</v>
      </c>
      <c r="C137" s="0" t="str">
        <f aca="false">IF(A137&lt;=15,"Hiper-Precoz 23%","Precoz 19%")</f>
        <v>Precoz 19%</v>
      </c>
      <c r="D137" s="2" t="n">
        <f aca="false">+D136+E136</f>
        <v>120.95</v>
      </c>
      <c r="E137" s="2" t="n">
        <f aca="false">PRECOZ!C124</f>
        <v>0.7</v>
      </c>
      <c r="F137" s="69" t="n">
        <f aca="false">IF(A137&lt;=5,'VARIABLES MODELO'!$B$13,IF(A137&lt;=15,'VARIABLES MODELO'!$B$14,IF(A137&lt;=50,'VARIABLES MODELO'!$B$15,IF(A137&lt;=80,'VARIABLES MODELO'!$B$16,IF(A137&lt;=120,'VARIABLES MODELO'!$B$17,'VARIABLES MODELO'!$B$18)))))</f>
        <v>0.025</v>
      </c>
      <c r="G137" s="3" t="n">
        <f aca="false">D137*F137</f>
        <v>3.02375</v>
      </c>
      <c r="H137" s="70"/>
      <c r="I137" s="3" t="n">
        <f aca="false">IF(H137="",G137,H137)</f>
        <v>3.02375</v>
      </c>
      <c r="J137" s="71" t="n">
        <f aca="false">IF(A137&lt;=15,'VARIABLES MODELO'!$B$8,'VARIABLES MODELO'!$B$10)</f>
        <v>509.36</v>
      </c>
      <c r="K137" s="71" t="n">
        <f aca="false">I137*J137</f>
        <v>1540.1773</v>
      </c>
      <c r="L137" s="71" t="n">
        <f aca="false">SUM($K$4:K137)</f>
        <v>167162.457414</v>
      </c>
      <c r="M137" s="2" t="n">
        <f aca="false">MROUND(I137*'VARIABLES MODELO'!$B$5,30)</f>
        <v>90</v>
      </c>
      <c r="N137" s="2" t="n">
        <f aca="false">IF(A137&lt;=15,MROUND(M137/'VARIABLES MODELO'!$B$11,0.5),MROUND(M137/'VARIABLES MODELO'!$B$12,0.5))</f>
        <v>3</v>
      </c>
      <c r="O137" s="2" t="n">
        <f aca="false">IF(A137&lt;=15,SUM($M$4:M137)/'VARIABLES MODELO'!$B$11,SUM($M$19:M137)/'VARIABLES MODELO'!$B$12)</f>
        <v>308</v>
      </c>
    </row>
    <row r="138" customFormat="false" ht="14.25" hidden="false" customHeight="false" outlineLevel="0" collapsed="false">
      <c r="A138" s="0" t="n">
        <v>135</v>
      </c>
      <c r="B138" s="68" t="n">
        <f aca="false">'VARIABLES MODELO'!$B$4+A138-1</f>
        <v>46419</v>
      </c>
      <c r="C138" s="0" t="str">
        <f aca="false">IF(A138&lt;=15,"Hiper-Precoz 23%","Precoz 19%")</f>
        <v>Precoz 19%</v>
      </c>
      <c r="D138" s="2" t="n">
        <f aca="false">+D137+E137</f>
        <v>121.65</v>
      </c>
      <c r="E138" s="2" t="n">
        <f aca="false">PRECOZ!C125</f>
        <v>0.7</v>
      </c>
      <c r="F138" s="69" t="n">
        <f aca="false">IF(A138&lt;=5,'VARIABLES MODELO'!$B$13,IF(A138&lt;=15,'VARIABLES MODELO'!$B$14,IF(A138&lt;=50,'VARIABLES MODELO'!$B$15,IF(A138&lt;=80,'VARIABLES MODELO'!$B$16,IF(A138&lt;=120,'VARIABLES MODELO'!$B$17,'VARIABLES MODELO'!$B$18)))))</f>
        <v>0.025</v>
      </c>
      <c r="G138" s="3" t="n">
        <f aca="false">D138*F138</f>
        <v>3.04125</v>
      </c>
      <c r="H138" s="70"/>
      <c r="I138" s="3" t="n">
        <f aca="false">IF(H138="",G138,H138)</f>
        <v>3.04125</v>
      </c>
      <c r="J138" s="71" t="n">
        <f aca="false">IF(A138&lt;=15,'VARIABLES MODELO'!$B$8,'VARIABLES MODELO'!$B$10)</f>
        <v>509.36</v>
      </c>
      <c r="K138" s="71" t="n">
        <f aca="false">I138*J138</f>
        <v>1549.0911</v>
      </c>
      <c r="L138" s="71" t="n">
        <f aca="false">SUM($K$4:K138)</f>
        <v>168711.548514</v>
      </c>
      <c r="M138" s="2" t="n">
        <f aca="false">MROUND(I138*'VARIABLES MODELO'!$B$5,30)</f>
        <v>90</v>
      </c>
      <c r="N138" s="2" t="n">
        <f aca="false">IF(A138&lt;=15,MROUND(M138/'VARIABLES MODELO'!$B$11,0.5),MROUND(M138/'VARIABLES MODELO'!$B$12,0.5))</f>
        <v>3</v>
      </c>
      <c r="O138" s="2" t="n">
        <f aca="false">IF(A138&lt;=15,SUM($M$4:M138)/'VARIABLES MODELO'!$B$11,SUM($M$19:M138)/'VARIABLES MODELO'!$B$12)</f>
        <v>311</v>
      </c>
    </row>
    <row r="139" customFormat="false" ht="14.25" hidden="false" customHeight="false" outlineLevel="0" collapsed="false">
      <c r="A139" s="0" t="n">
        <v>136</v>
      </c>
      <c r="B139" s="68" t="n">
        <f aca="false">'VARIABLES MODELO'!$B$4+A139-1</f>
        <v>46420</v>
      </c>
      <c r="C139" s="0" t="str">
        <f aca="false">IF(A139&lt;=15,"Hiper-Precoz 23%","Precoz 19%")</f>
        <v>Precoz 19%</v>
      </c>
      <c r="D139" s="2" t="n">
        <f aca="false">+D138+E138</f>
        <v>122.35</v>
      </c>
      <c r="E139" s="2" t="n">
        <f aca="false">PRECOZ!C126</f>
        <v>0.7</v>
      </c>
      <c r="F139" s="69" t="n">
        <f aca="false">IF(A139&lt;=5,'VARIABLES MODELO'!$B$13,IF(A139&lt;=15,'VARIABLES MODELO'!$B$14,IF(A139&lt;=50,'VARIABLES MODELO'!$B$15,IF(A139&lt;=80,'VARIABLES MODELO'!$B$16,IF(A139&lt;=120,'VARIABLES MODELO'!$B$17,'VARIABLES MODELO'!$B$18)))))</f>
        <v>0.025</v>
      </c>
      <c r="G139" s="3" t="n">
        <f aca="false">D139*F139</f>
        <v>3.05875</v>
      </c>
      <c r="H139" s="70"/>
      <c r="I139" s="3" t="n">
        <f aca="false">IF(H139="",G139,H139)</f>
        <v>3.05875</v>
      </c>
      <c r="J139" s="71" t="n">
        <f aca="false">IF(A139&lt;=15,'VARIABLES MODELO'!$B$8,'VARIABLES MODELO'!$B$10)</f>
        <v>509.36</v>
      </c>
      <c r="K139" s="71" t="n">
        <f aca="false">I139*J139</f>
        <v>1558.0049</v>
      </c>
      <c r="L139" s="71" t="n">
        <f aca="false">SUM($K$4:K139)</f>
        <v>170269.553414</v>
      </c>
      <c r="M139" s="2" t="n">
        <f aca="false">MROUND(I139*'VARIABLES MODELO'!$B$5,30)</f>
        <v>90</v>
      </c>
      <c r="N139" s="2" t="n">
        <f aca="false">IF(A139&lt;=15,MROUND(M139/'VARIABLES MODELO'!$B$11,0.5),MROUND(M139/'VARIABLES MODELO'!$B$12,0.5))</f>
        <v>3</v>
      </c>
      <c r="O139" s="2" t="n">
        <f aca="false">IF(A139&lt;=15,SUM($M$4:M139)/'VARIABLES MODELO'!$B$11,SUM($M$19:M139)/'VARIABLES MODELO'!$B$12)</f>
        <v>314</v>
      </c>
    </row>
    <row r="140" customFormat="false" ht="14.25" hidden="false" customHeight="false" outlineLevel="0" collapsed="false">
      <c r="A140" s="0" t="n">
        <v>137</v>
      </c>
      <c r="B140" s="68" t="n">
        <f aca="false">'VARIABLES MODELO'!$B$4+A140-1</f>
        <v>46421</v>
      </c>
      <c r="C140" s="0" t="str">
        <f aca="false">IF(A140&lt;=15,"Hiper-Precoz 23%","Precoz 19%")</f>
        <v>Precoz 19%</v>
      </c>
      <c r="D140" s="2" t="n">
        <f aca="false">+D139+E139</f>
        <v>123.05</v>
      </c>
      <c r="E140" s="2" t="n">
        <f aca="false">PRECOZ!C127</f>
        <v>0.7</v>
      </c>
      <c r="F140" s="69" t="n">
        <f aca="false">IF(A140&lt;=5,'VARIABLES MODELO'!$B$13,IF(A140&lt;=15,'VARIABLES MODELO'!$B$14,IF(A140&lt;=50,'VARIABLES MODELO'!$B$15,IF(A140&lt;=80,'VARIABLES MODELO'!$B$16,IF(A140&lt;=120,'VARIABLES MODELO'!$B$17,'VARIABLES MODELO'!$B$18)))))</f>
        <v>0.025</v>
      </c>
      <c r="G140" s="3" t="n">
        <f aca="false">D140*F140</f>
        <v>3.07625</v>
      </c>
      <c r="H140" s="70"/>
      <c r="I140" s="3" t="n">
        <f aca="false">IF(H140="",G140,H140)</f>
        <v>3.07625</v>
      </c>
      <c r="J140" s="71" t="n">
        <f aca="false">IF(A140&lt;=15,'VARIABLES MODELO'!$B$8,'VARIABLES MODELO'!$B$10)</f>
        <v>509.36</v>
      </c>
      <c r="K140" s="71" t="n">
        <f aca="false">I140*J140</f>
        <v>1566.9187</v>
      </c>
      <c r="L140" s="71" t="n">
        <f aca="false">SUM($K$4:K140)</f>
        <v>171836.472114</v>
      </c>
      <c r="M140" s="2" t="n">
        <f aca="false">MROUND(I140*'VARIABLES MODELO'!$B$5,30)</f>
        <v>90</v>
      </c>
      <c r="N140" s="2" t="n">
        <f aca="false">IF(A140&lt;=15,MROUND(M140/'VARIABLES MODELO'!$B$11,0.5),MROUND(M140/'VARIABLES MODELO'!$B$12,0.5))</f>
        <v>3</v>
      </c>
      <c r="O140" s="2" t="n">
        <f aca="false">IF(A140&lt;=15,SUM($M$4:M140)/'VARIABLES MODELO'!$B$11,SUM($M$19:M140)/'VARIABLES MODELO'!$B$12)</f>
        <v>317</v>
      </c>
    </row>
    <row r="141" customFormat="false" ht="14.25" hidden="false" customHeight="false" outlineLevel="0" collapsed="false">
      <c r="A141" s="0" t="n">
        <v>138</v>
      </c>
      <c r="B141" s="68" t="n">
        <f aca="false">'VARIABLES MODELO'!$B$4+A141-1</f>
        <v>46422</v>
      </c>
      <c r="C141" s="0" t="str">
        <f aca="false">IF(A141&lt;=15,"Hiper-Precoz 23%","Precoz 19%")</f>
        <v>Precoz 19%</v>
      </c>
      <c r="D141" s="2" t="n">
        <f aca="false">+D140+E140</f>
        <v>123.75</v>
      </c>
      <c r="E141" s="2" t="n">
        <f aca="false">PRECOZ!C128</f>
        <v>0.7</v>
      </c>
      <c r="F141" s="69" t="n">
        <f aca="false">IF(A141&lt;=5,'VARIABLES MODELO'!$B$13,IF(A141&lt;=15,'VARIABLES MODELO'!$B$14,IF(A141&lt;=50,'VARIABLES MODELO'!$B$15,IF(A141&lt;=80,'VARIABLES MODELO'!$B$16,IF(A141&lt;=120,'VARIABLES MODELO'!$B$17,'VARIABLES MODELO'!$B$18)))))</f>
        <v>0.025</v>
      </c>
      <c r="G141" s="3" t="n">
        <f aca="false">D141*F141</f>
        <v>3.09375</v>
      </c>
      <c r="H141" s="70"/>
      <c r="I141" s="3" t="n">
        <f aca="false">IF(H141="",G141,H141)</f>
        <v>3.09375</v>
      </c>
      <c r="J141" s="71" t="n">
        <f aca="false">IF(A141&lt;=15,'VARIABLES MODELO'!$B$8,'VARIABLES MODELO'!$B$10)</f>
        <v>509.36</v>
      </c>
      <c r="K141" s="71" t="n">
        <f aca="false">I141*J141</f>
        <v>1575.8325</v>
      </c>
      <c r="L141" s="71" t="n">
        <f aca="false">SUM($K$4:K141)</f>
        <v>173412.304614</v>
      </c>
      <c r="M141" s="2" t="n">
        <f aca="false">MROUND(I141*'VARIABLES MODELO'!$B$5,30)</f>
        <v>90</v>
      </c>
      <c r="N141" s="2" t="n">
        <f aca="false">IF(A141&lt;=15,MROUND(M141/'VARIABLES MODELO'!$B$11,0.5),MROUND(M141/'VARIABLES MODELO'!$B$12,0.5))</f>
        <v>3</v>
      </c>
      <c r="O141" s="2" t="n">
        <f aca="false">IF(A141&lt;=15,SUM($M$4:M141)/'VARIABLES MODELO'!$B$11,SUM($M$19:M141)/'VARIABLES MODELO'!$B$12)</f>
        <v>320</v>
      </c>
    </row>
    <row r="142" customFormat="false" ht="14.25" hidden="false" customHeight="false" outlineLevel="0" collapsed="false">
      <c r="A142" s="0" t="n">
        <v>139</v>
      </c>
      <c r="B142" s="68" t="n">
        <f aca="false">'VARIABLES MODELO'!$B$4+A142-1</f>
        <v>46423</v>
      </c>
      <c r="C142" s="0" t="str">
        <f aca="false">IF(A142&lt;=15,"Hiper-Precoz 23%","Precoz 19%")</f>
        <v>Precoz 19%</v>
      </c>
      <c r="D142" s="2" t="n">
        <f aca="false">+D141+E141</f>
        <v>124.45</v>
      </c>
      <c r="E142" s="2" t="n">
        <f aca="false">PRECOZ!C129</f>
        <v>0.7</v>
      </c>
      <c r="F142" s="69" t="n">
        <f aca="false">IF(A142&lt;=5,'VARIABLES MODELO'!$B$13,IF(A142&lt;=15,'VARIABLES MODELO'!$B$14,IF(A142&lt;=50,'VARIABLES MODELO'!$B$15,IF(A142&lt;=80,'VARIABLES MODELO'!$B$16,IF(A142&lt;=120,'VARIABLES MODELO'!$B$17,'VARIABLES MODELO'!$B$18)))))</f>
        <v>0.025</v>
      </c>
      <c r="G142" s="3" t="n">
        <f aca="false">D142*F142</f>
        <v>3.11125</v>
      </c>
      <c r="H142" s="70"/>
      <c r="I142" s="3" t="n">
        <f aca="false">IF(H142="",G142,H142)</f>
        <v>3.11125</v>
      </c>
      <c r="J142" s="71" t="n">
        <f aca="false">IF(A142&lt;=15,'VARIABLES MODELO'!$B$8,'VARIABLES MODELO'!$B$10)</f>
        <v>509.36</v>
      </c>
      <c r="K142" s="71" t="n">
        <f aca="false">I142*J142</f>
        <v>1584.7463</v>
      </c>
      <c r="L142" s="71" t="n">
        <f aca="false">SUM($K$4:K142)</f>
        <v>174997.050914</v>
      </c>
      <c r="M142" s="2" t="n">
        <f aca="false">MROUND(I142*'VARIABLES MODELO'!$B$5,30)</f>
        <v>90</v>
      </c>
      <c r="N142" s="2" t="n">
        <f aca="false">IF(A142&lt;=15,MROUND(M142/'VARIABLES MODELO'!$B$11,0.5),MROUND(M142/'VARIABLES MODELO'!$B$12,0.5))</f>
        <v>3</v>
      </c>
      <c r="O142" s="2" t="n">
        <f aca="false">IF(A142&lt;=15,SUM($M$4:M142)/'VARIABLES MODELO'!$B$11,SUM($M$19:M142)/'VARIABLES MODELO'!$B$12)</f>
        <v>323</v>
      </c>
    </row>
    <row r="143" customFormat="false" ht="14.25" hidden="false" customHeight="false" outlineLevel="0" collapsed="false">
      <c r="A143" s="0" t="n">
        <v>140</v>
      </c>
      <c r="B143" s="68" t="n">
        <f aca="false">'VARIABLES MODELO'!$B$4+A143-1</f>
        <v>46424</v>
      </c>
      <c r="C143" s="0" t="str">
        <f aca="false">IF(A143&lt;=15,"Hiper-Precoz 23%","Precoz 19%")</f>
        <v>Precoz 19%</v>
      </c>
      <c r="D143" s="2" t="n">
        <f aca="false">+D142+E142</f>
        <v>125.15</v>
      </c>
      <c r="E143" s="2" t="n">
        <f aca="false">PRECOZ!C130</f>
        <v>0.7</v>
      </c>
      <c r="F143" s="69" t="n">
        <f aca="false">IF(A143&lt;=5,'VARIABLES MODELO'!$B$13,IF(A143&lt;=15,'VARIABLES MODELO'!$B$14,IF(A143&lt;=50,'VARIABLES MODELO'!$B$15,IF(A143&lt;=80,'VARIABLES MODELO'!$B$16,IF(A143&lt;=120,'VARIABLES MODELO'!$B$17,'VARIABLES MODELO'!$B$18)))))</f>
        <v>0.025</v>
      </c>
      <c r="G143" s="3" t="n">
        <f aca="false">D143*F143</f>
        <v>3.12875</v>
      </c>
      <c r="H143" s="70"/>
      <c r="I143" s="3" t="n">
        <f aca="false">IF(H143="",G143,H143)</f>
        <v>3.12875</v>
      </c>
      <c r="J143" s="71" t="n">
        <f aca="false">IF(A143&lt;=15,'VARIABLES MODELO'!$B$8,'VARIABLES MODELO'!$B$10)</f>
        <v>509.36</v>
      </c>
      <c r="K143" s="71" t="n">
        <f aca="false">I143*J143</f>
        <v>1593.6601</v>
      </c>
      <c r="L143" s="71" t="n">
        <f aca="false">SUM($K$4:K143)</f>
        <v>176590.711014</v>
      </c>
      <c r="M143" s="2" t="n">
        <f aca="false">MROUND(I143*'VARIABLES MODELO'!$B$5,30)</f>
        <v>90</v>
      </c>
      <c r="N143" s="2" t="n">
        <f aca="false">IF(A143&lt;=15,MROUND(M143/'VARIABLES MODELO'!$B$11,0.5),MROUND(M143/'VARIABLES MODELO'!$B$12,0.5))</f>
        <v>3</v>
      </c>
      <c r="O143" s="2" t="n">
        <f aca="false">IF(A143&lt;=15,SUM($M$4:M143)/'VARIABLES MODELO'!$B$11,SUM($M$19:M143)/'VARIABLES MODELO'!$B$12)</f>
        <v>326</v>
      </c>
    </row>
    <row r="144" customFormat="false" ht="14.25" hidden="false" customHeight="false" outlineLevel="0" collapsed="false">
      <c r="A144" s="0" t="n">
        <v>141</v>
      </c>
      <c r="B144" s="68" t="n">
        <f aca="false">'VARIABLES MODELO'!$B$4+A144-1</f>
        <v>46425</v>
      </c>
      <c r="C144" s="0" t="str">
        <f aca="false">IF(A144&lt;=15,"Hiper-Precoz 23%","Precoz 19%")</f>
        <v>Precoz 19%</v>
      </c>
      <c r="D144" s="2" t="n">
        <f aca="false">+D143+E143</f>
        <v>125.85</v>
      </c>
      <c r="E144" s="2" t="n">
        <f aca="false">PRECOZ!C131</f>
        <v>0.7</v>
      </c>
      <c r="F144" s="69" t="n">
        <f aca="false">IF(A144&lt;=5,'VARIABLES MODELO'!$B$13,IF(A144&lt;=15,'VARIABLES MODELO'!$B$14,IF(A144&lt;=50,'VARIABLES MODELO'!$B$15,IF(A144&lt;=80,'VARIABLES MODELO'!$B$16,IF(A144&lt;=120,'VARIABLES MODELO'!$B$17,'VARIABLES MODELO'!$B$18)))))</f>
        <v>0.025</v>
      </c>
      <c r="G144" s="3" t="n">
        <f aca="false">D144*F144</f>
        <v>3.14625</v>
      </c>
      <c r="H144" s="70"/>
      <c r="I144" s="3" t="n">
        <f aca="false">IF(H144="",G144,H144)</f>
        <v>3.14625</v>
      </c>
      <c r="J144" s="71" t="n">
        <f aca="false">IF(A144&lt;=15,'VARIABLES MODELO'!$B$8,'VARIABLES MODELO'!$B$10)</f>
        <v>509.36</v>
      </c>
      <c r="K144" s="71" t="n">
        <f aca="false">I144*J144</f>
        <v>1602.5739</v>
      </c>
      <c r="L144" s="71" t="n">
        <f aca="false">SUM($K$4:K144)</f>
        <v>178193.284914</v>
      </c>
      <c r="M144" s="2" t="n">
        <f aca="false">MROUND(I144*'VARIABLES MODELO'!$B$5,30)</f>
        <v>90</v>
      </c>
      <c r="N144" s="2" t="n">
        <f aca="false">IF(A144&lt;=15,MROUND(M144/'VARIABLES MODELO'!$B$11,0.5),MROUND(M144/'VARIABLES MODELO'!$B$12,0.5))</f>
        <v>3</v>
      </c>
      <c r="O144" s="2" t="n">
        <f aca="false">IF(A144&lt;=15,SUM($M$4:M144)/'VARIABLES MODELO'!$B$11,SUM($M$19:M144)/'VARIABLES MODELO'!$B$12)</f>
        <v>329</v>
      </c>
    </row>
    <row r="145" customFormat="false" ht="14.25" hidden="false" customHeight="false" outlineLevel="0" collapsed="false">
      <c r="A145" s="0" t="n">
        <v>142</v>
      </c>
      <c r="B145" s="68" t="n">
        <f aca="false">'VARIABLES MODELO'!$B$4+A145-1</f>
        <v>46426</v>
      </c>
      <c r="C145" s="0" t="str">
        <f aca="false">IF(A145&lt;=15,"Hiper-Precoz 23%","Precoz 19%")</f>
        <v>Precoz 19%</v>
      </c>
      <c r="D145" s="2" t="n">
        <f aca="false">+D144+E144</f>
        <v>126.55</v>
      </c>
      <c r="E145" s="2" t="n">
        <f aca="false">PRECOZ!C132</f>
        <v>0.7</v>
      </c>
      <c r="F145" s="69" t="n">
        <f aca="false">IF(A145&lt;=5,'VARIABLES MODELO'!$B$13,IF(A145&lt;=15,'VARIABLES MODELO'!$B$14,IF(A145&lt;=50,'VARIABLES MODELO'!$B$15,IF(A145&lt;=80,'VARIABLES MODELO'!$B$16,IF(A145&lt;=120,'VARIABLES MODELO'!$B$17,'VARIABLES MODELO'!$B$18)))))</f>
        <v>0.025</v>
      </c>
      <c r="G145" s="3" t="n">
        <f aca="false">D145*F145</f>
        <v>3.16375</v>
      </c>
      <c r="H145" s="70"/>
      <c r="I145" s="3" t="n">
        <f aca="false">IF(H145="",G145,H145)</f>
        <v>3.16375</v>
      </c>
      <c r="J145" s="71" t="n">
        <f aca="false">IF(A145&lt;=15,'VARIABLES MODELO'!$B$8,'VARIABLES MODELO'!$B$10)</f>
        <v>509.36</v>
      </c>
      <c r="K145" s="71" t="n">
        <f aca="false">I145*J145</f>
        <v>1611.4877</v>
      </c>
      <c r="L145" s="71" t="n">
        <f aca="false">SUM($K$4:K145)</f>
        <v>179804.772614</v>
      </c>
      <c r="M145" s="2" t="n">
        <f aca="false">MROUND(I145*'VARIABLES MODELO'!$B$5,30)</f>
        <v>90</v>
      </c>
      <c r="N145" s="2" t="n">
        <f aca="false">IF(A145&lt;=15,MROUND(M145/'VARIABLES MODELO'!$B$11,0.5),MROUND(M145/'VARIABLES MODELO'!$B$12,0.5))</f>
        <v>3</v>
      </c>
      <c r="O145" s="2" t="n">
        <f aca="false">IF(A145&lt;=15,SUM($M$4:M145)/'VARIABLES MODELO'!$B$11,SUM($M$19:M145)/'VARIABLES MODELO'!$B$12)</f>
        <v>332</v>
      </c>
    </row>
    <row r="146" customFormat="false" ht="14.25" hidden="false" customHeight="false" outlineLevel="0" collapsed="false">
      <c r="A146" s="0" t="n">
        <v>143</v>
      </c>
      <c r="B146" s="68" t="n">
        <f aca="false">'VARIABLES MODELO'!$B$4+A146-1</f>
        <v>46427</v>
      </c>
      <c r="C146" s="0" t="str">
        <f aca="false">IF(A146&lt;=15,"Hiper-Precoz 23%","Precoz 19%")</f>
        <v>Precoz 19%</v>
      </c>
      <c r="D146" s="2" t="n">
        <f aca="false">+D145+E145</f>
        <v>127.25</v>
      </c>
      <c r="E146" s="2" t="n">
        <f aca="false">PRECOZ!C133</f>
        <v>0.7</v>
      </c>
      <c r="F146" s="69" t="n">
        <f aca="false">IF(A146&lt;=5,'VARIABLES MODELO'!$B$13,IF(A146&lt;=15,'VARIABLES MODELO'!$B$14,IF(A146&lt;=50,'VARIABLES MODELO'!$B$15,IF(A146&lt;=80,'VARIABLES MODELO'!$B$16,IF(A146&lt;=120,'VARIABLES MODELO'!$B$17,'VARIABLES MODELO'!$B$18)))))</f>
        <v>0.025</v>
      </c>
      <c r="G146" s="3" t="n">
        <f aca="false">D146*F146</f>
        <v>3.18125</v>
      </c>
      <c r="H146" s="70"/>
      <c r="I146" s="3" t="n">
        <f aca="false">IF(H146="",G146,H146)</f>
        <v>3.18125</v>
      </c>
      <c r="J146" s="71" t="n">
        <f aca="false">IF(A146&lt;=15,'VARIABLES MODELO'!$B$8,'VARIABLES MODELO'!$B$10)</f>
        <v>509.36</v>
      </c>
      <c r="K146" s="71" t="n">
        <f aca="false">I146*J146</f>
        <v>1620.4015</v>
      </c>
      <c r="L146" s="71" t="n">
        <f aca="false">SUM($K$4:K146)</f>
        <v>181425.174114</v>
      </c>
      <c r="M146" s="2" t="n">
        <f aca="false">MROUND(I146*'VARIABLES MODELO'!$B$5,30)</f>
        <v>90</v>
      </c>
      <c r="N146" s="2" t="n">
        <f aca="false">IF(A146&lt;=15,MROUND(M146/'VARIABLES MODELO'!$B$11,0.5),MROUND(M146/'VARIABLES MODELO'!$B$12,0.5))</f>
        <v>3</v>
      </c>
      <c r="O146" s="2" t="n">
        <f aca="false">IF(A146&lt;=15,SUM($M$4:M146)/'VARIABLES MODELO'!$B$11,SUM($M$19:M146)/'VARIABLES MODELO'!$B$12)</f>
        <v>335</v>
      </c>
    </row>
    <row r="147" customFormat="false" ht="14.25" hidden="false" customHeight="false" outlineLevel="0" collapsed="false">
      <c r="A147" s="0" t="n">
        <v>144</v>
      </c>
      <c r="B147" s="68" t="n">
        <f aca="false">'VARIABLES MODELO'!$B$4+A147-1</f>
        <v>46428</v>
      </c>
      <c r="C147" s="0" t="str">
        <f aca="false">IF(A147&lt;=15,"Hiper-Precoz 23%","Precoz 19%")</f>
        <v>Precoz 19%</v>
      </c>
      <c r="D147" s="2" t="n">
        <f aca="false">+D146+E146</f>
        <v>127.95</v>
      </c>
      <c r="E147" s="2" t="n">
        <f aca="false">PRECOZ!C134</f>
        <v>0.7</v>
      </c>
      <c r="F147" s="69" t="n">
        <f aca="false">IF(A147&lt;=5,'VARIABLES MODELO'!$B$13,IF(A147&lt;=15,'VARIABLES MODELO'!$B$14,IF(A147&lt;=50,'VARIABLES MODELO'!$B$15,IF(A147&lt;=80,'VARIABLES MODELO'!$B$16,IF(A147&lt;=120,'VARIABLES MODELO'!$B$17,'VARIABLES MODELO'!$B$18)))))</f>
        <v>0.025</v>
      </c>
      <c r="G147" s="3" t="n">
        <f aca="false">D147*F147</f>
        <v>3.19875</v>
      </c>
      <c r="H147" s="70"/>
      <c r="I147" s="3" t="n">
        <f aca="false">IF(H147="",G147,H147)</f>
        <v>3.19875</v>
      </c>
      <c r="J147" s="71" t="n">
        <f aca="false">IF(A147&lt;=15,'VARIABLES MODELO'!$B$8,'VARIABLES MODELO'!$B$10)</f>
        <v>509.36</v>
      </c>
      <c r="K147" s="71" t="n">
        <f aca="false">I147*J147</f>
        <v>1629.3153</v>
      </c>
      <c r="L147" s="71" t="n">
        <f aca="false">SUM($K$4:K147)</f>
        <v>183054.489414</v>
      </c>
      <c r="M147" s="2" t="n">
        <f aca="false">MROUND(I147*'VARIABLES MODELO'!$B$5,30)</f>
        <v>120</v>
      </c>
      <c r="N147" s="2" t="n">
        <f aca="false">IF(A147&lt;=15,MROUND(M147/'VARIABLES MODELO'!$B$11,0.5),MROUND(M147/'VARIABLES MODELO'!$B$12,0.5))</f>
        <v>4</v>
      </c>
      <c r="O147" s="2" t="n">
        <f aca="false">IF(A147&lt;=15,SUM($M$4:M147)/'VARIABLES MODELO'!$B$11,SUM($M$19:M147)/'VARIABLES MODELO'!$B$12)</f>
        <v>339</v>
      </c>
    </row>
    <row r="148" customFormat="false" ht="14.25" hidden="false" customHeight="false" outlineLevel="0" collapsed="false">
      <c r="A148" s="0" t="n">
        <v>145</v>
      </c>
      <c r="B148" s="68" t="n">
        <f aca="false">'VARIABLES MODELO'!$B$4+A148-1</f>
        <v>46429</v>
      </c>
      <c r="C148" s="0" t="str">
        <f aca="false">IF(A148&lt;=15,"Hiper-Precoz 23%","Precoz 19%")</f>
        <v>Precoz 19%</v>
      </c>
      <c r="D148" s="2" t="n">
        <f aca="false">+D147+E147</f>
        <v>128.65</v>
      </c>
      <c r="E148" s="2" t="n">
        <f aca="false">PRECOZ!C135</f>
        <v>0.7</v>
      </c>
      <c r="F148" s="69" t="n">
        <f aca="false">IF(A148&lt;=5,'VARIABLES MODELO'!$B$13,IF(A148&lt;=15,'VARIABLES MODELO'!$B$14,IF(A148&lt;=50,'VARIABLES MODELO'!$B$15,IF(A148&lt;=80,'VARIABLES MODELO'!$B$16,IF(A148&lt;=120,'VARIABLES MODELO'!$B$17,'VARIABLES MODELO'!$B$18)))))</f>
        <v>0.025</v>
      </c>
      <c r="G148" s="3" t="n">
        <f aca="false">D148*F148</f>
        <v>3.21625</v>
      </c>
      <c r="H148" s="70"/>
      <c r="I148" s="3" t="n">
        <f aca="false">IF(H148="",G148,H148)</f>
        <v>3.21625</v>
      </c>
      <c r="J148" s="71" t="n">
        <f aca="false">IF(A148&lt;=15,'VARIABLES MODELO'!$B$8,'VARIABLES MODELO'!$B$10)</f>
        <v>509.36</v>
      </c>
      <c r="K148" s="71" t="n">
        <f aca="false">I148*J148</f>
        <v>1638.2291</v>
      </c>
      <c r="L148" s="71" t="n">
        <f aca="false">SUM($K$4:K148)</f>
        <v>184692.718514</v>
      </c>
      <c r="M148" s="2" t="n">
        <f aca="false">MROUND(I148*'VARIABLES MODELO'!$B$5,30)</f>
        <v>120</v>
      </c>
      <c r="N148" s="2" t="n">
        <f aca="false">IF(A148&lt;=15,MROUND(M148/'VARIABLES MODELO'!$B$11,0.5),MROUND(M148/'VARIABLES MODELO'!$B$12,0.5))</f>
        <v>4</v>
      </c>
      <c r="O148" s="2" t="n">
        <f aca="false">IF(A148&lt;=15,SUM($M$4:M148)/'VARIABLES MODELO'!$B$11,SUM($M$19:M148)/'VARIABLES MODELO'!$B$12)</f>
        <v>343</v>
      </c>
    </row>
    <row r="149" customFormat="false" ht="14.25" hidden="false" customHeight="false" outlineLevel="0" collapsed="false">
      <c r="A149" s="0" t="n">
        <v>146</v>
      </c>
      <c r="B149" s="68" t="n">
        <f aca="false">'VARIABLES MODELO'!$B$4+A149-1</f>
        <v>46430</v>
      </c>
      <c r="C149" s="0" t="str">
        <f aca="false">IF(A149&lt;=15,"Hiper-Precoz 23%","Precoz 19%")</f>
        <v>Precoz 19%</v>
      </c>
      <c r="D149" s="2" t="n">
        <f aca="false">+D148+E148</f>
        <v>129.35</v>
      </c>
      <c r="E149" s="2" t="n">
        <f aca="false">PRECOZ!C136</f>
        <v>0.7</v>
      </c>
      <c r="F149" s="69" t="n">
        <f aca="false">IF(A149&lt;=5,'VARIABLES MODELO'!$B$13,IF(A149&lt;=15,'VARIABLES MODELO'!$B$14,IF(A149&lt;=50,'VARIABLES MODELO'!$B$15,IF(A149&lt;=80,'VARIABLES MODELO'!$B$16,IF(A149&lt;=120,'VARIABLES MODELO'!$B$17,'VARIABLES MODELO'!$B$18)))))</f>
        <v>0.025</v>
      </c>
      <c r="G149" s="3" t="n">
        <f aca="false">D149*F149</f>
        <v>3.23375</v>
      </c>
      <c r="H149" s="70"/>
      <c r="I149" s="3" t="n">
        <f aca="false">IF(H149="",G149,H149)</f>
        <v>3.23375</v>
      </c>
      <c r="J149" s="71" t="n">
        <f aca="false">IF(A149&lt;=15,'VARIABLES MODELO'!$B$8,'VARIABLES MODELO'!$B$10)</f>
        <v>509.36</v>
      </c>
      <c r="K149" s="71" t="n">
        <f aca="false">I149*J149</f>
        <v>1647.1429</v>
      </c>
      <c r="L149" s="71" t="n">
        <f aca="false">SUM($K$4:K149)</f>
        <v>186339.861414</v>
      </c>
      <c r="M149" s="2" t="n">
        <f aca="false">MROUND(I149*'VARIABLES MODELO'!$B$5,30)</f>
        <v>120</v>
      </c>
      <c r="N149" s="2" t="n">
        <f aca="false">IF(A149&lt;=15,MROUND(M149/'VARIABLES MODELO'!$B$11,0.5),MROUND(M149/'VARIABLES MODELO'!$B$12,0.5))</f>
        <v>4</v>
      </c>
      <c r="O149" s="2" t="n">
        <f aca="false">IF(A149&lt;=15,SUM($M$4:M149)/'VARIABLES MODELO'!$B$11,SUM($M$19:M149)/'VARIABLES MODELO'!$B$12)</f>
        <v>347</v>
      </c>
    </row>
    <row r="150" customFormat="false" ht="14.25" hidden="false" customHeight="false" outlineLevel="0" collapsed="false">
      <c r="A150" s="0" t="n">
        <v>147</v>
      </c>
      <c r="B150" s="68" t="n">
        <f aca="false">'VARIABLES MODELO'!$B$4+A150-1</f>
        <v>46431</v>
      </c>
      <c r="C150" s="0" t="str">
        <f aca="false">IF(A150&lt;=15,"Hiper-Precoz 23%","Precoz 19%")</f>
        <v>Precoz 19%</v>
      </c>
      <c r="D150" s="2" t="n">
        <f aca="false">+D149+E149</f>
        <v>130.05</v>
      </c>
      <c r="E150" s="2" t="n">
        <f aca="false">PRECOZ!C137</f>
        <v>0.7</v>
      </c>
      <c r="F150" s="69" t="n">
        <f aca="false">IF(A150&lt;=5,'VARIABLES MODELO'!$B$13,IF(A150&lt;=15,'VARIABLES MODELO'!$B$14,IF(A150&lt;=50,'VARIABLES MODELO'!$B$15,IF(A150&lt;=80,'VARIABLES MODELO'!$B$16,IF(A150&lt;=120,'VARIABLES MODELO'!$B$17,'VARIABLES MODELO'!$B$18)))))</f>
        <v>0.025</v>
      </c>
      <c r="G150" s="3" t="n">
        <f aca="false">D150*F150</f>
        <v>3.25125</v>
      </c>
      <c r="H150" s="70"/>
      <c r="I150" s="3" t="n">
        <f aca="false">IF(H150="",G150,H150)</f>
        <v>3.25125</v>
      </c>
      <c r="J150" s="71" t="n">
        <f aca="false">IF(A150&lt;=15,'VARIABLES MODELO'!$B$8,'VARIABLES MODELO'!$B$10)</f>
        <v>509.36</v>
      </c>
      <c r="K150" s="71" t="n">
        <f aca="false">I150*J150</f>
        <v>1656.0567</v>
      </c>
      <c r="L150" s="71" t="n">
        <f aca="false">SUM($K$4:K150)</f>
        <v>187995.918114</v>
      </c>
      <c r="M150" s="2" t="n">
        <f aca="false">MROUND(I150*'VARIABLES MODELO'!$B$5,30)</f>
        <v>120</v>
      </c>
      <c r="N150" s="2" t="n">
        <f aca="false">IF(A150&lt;=15,MROUND(M150/'VARIABLES MODELO'!$B$11,0.5),MROUND(M150/'VARIABLES MODELO'!$B$12,0.5))</f>
        <v>4</v>
      </c>
      <c r="O150" s="2" t="n">
        <f aca="false">IF(A150&lt;=15,SUM($M$4:M150)/'VARIABLES MODELO'!$B$11,SUM($M$19:M150)/'VARIABLES MODELO'!$B$12)</f>
        <v>351</v>
      </c>
    </row>
    <row r="151" customFormat="false" ht="14.25" hidden="false" customHeight="false" outlineLevel="0" collapsed="false">
      <c r="A151" s="0" t="n">
        <v>148</v>
      </c>
      <c r="B151" s="68" t="n">
        <f aca="false">'VARIABLES MODELO'!$B$4+A151-1</f>
        <v>46432</v>
      </c>
      <c r="C151" s="0" t="str">
        <f aca="false">IF(A151&lt;=15,"Hiper-Precoz 23%","Precoz 19%")</f>
        <v>Precoz 19%</v>
      </c>
      <c r="D151" s="2" t="n">
        <f aca="false">+D150+E150</f>
        <v>130.75</v>
      </c>
      <c r="E151" s="2" t="n">
        <f aca="false">PRECOZ!C138</f>
        <v>0.7</v>
      </c>
      <c r="F151" s="69" t="n">
        <f aca="false">IF(A151&lt;=5,'VARIABLES MODELO'!$B$13,IF(A151&lt;=15,'VARIABLES MODELO'!$B$14,IF(A151&lt;=50,'VARIABLES MODELO'!$B$15,IF(A151&lt;=80,'VARIABLES MODELO'!$B$16,IF(A151&lt;=120,'VARIABLES MODELO'!$B$17,'VARIABLES MODELO'!$B$18)))))</f>
        <v>0.025</v>
      </c>
      <c r="G151" s="3" t="n">
        <f aca="false">D151*F151</f>
        <v>3.26875</v>
      </c>
      <c r="H151" s="70"/>
      <c r="I151" s="3" t="n">
        <f aca="false">IF(H151="",G151,H151)</f>
        <v>3.26875</v>
      </c>
      <c r="J151" s="71" t="n">
        <f aca="false">IF(A151&lt;=15,'VARIABLES MODELO'!$B$8,'VARIABLES MODELO'!$B$10)</f>
        <v>509.36</v>
      </c>
      <c r="K151" s="71" t="n">
        <f aca="false">I151*J151</f>
        <v>1664.9705</v>
      </c>
      <c r="L151" s="71" t="n">
        <f aca="false">SUM($K$4:K151)</f>
        <v>189660.888614</v>
      </c>
      <c r="M151" s="2" t="n">
        <f aca="false">MROUND(I151*'VARIABLES MODELO'!$B$5,30)</f>
        <v>120</v>
      </c>
      <c r="N151" s="2" t="n">
        <f aca="false">IF(A151&lt;=15,MROUND(M151/'VARIABLES MODELO'!$B$11,0.5),MROUND(M151/'VARIABLES MODELO'!$B$12,0.5))</f>
        <v>4</v>
      </c>
      <c r="O151" s="2" t="n">
        <f aca="false">IF(A151&lt;=15,SUM($M$4:M151)/'VARIABLES MODELO'!$B$11,SUM($M$19:M151)/'VARIABLES MODELO'!$B$12)</f>
        <v>355</v>
      </c>
    </row>
    <row r="152" customFormat="false" ht="14.25" hidden="false" customHeight="false" outlineLevel="0" collapsed="false">
      <c r="A152" s="0" t="n">
        <v>149</v>
      </c>
      <c r="B152" s="68" t="n">
        <f aca="false">'VARIABLES MODELO'!$B$4+A152-1</f>
        <v>46433</v>
      </c>
      <c r="C152" s="0" t="str">
        <f aca="false">IF(A152&lt;=15,"Hiper-Precoz 23%","Precoz 19%")</f>
        <v>Precoz 19%</v>
      </c>
      <c r="D152" s="2" t="n">
        <f aca="false">+D151+E151</f>
        <v>131.45</v>
      </c>
      <c r="E152" s="2" t="n">
        <f aca="false">PRECOZ!C139</f>
        <v>0.7</v>
      </c>
      <c r="F152" s="69" t="n">
        <f aca="false">IF(A152&lt;=5,'VARIABLES MODELO'!$B$13,IF(A152&lt;=15,'VARIABLES MODELO'!$B$14,IF(A152&lt;=50,'VARIABLES MODELO'!$B$15,IF(A152&lt;=80,'VARIABLES MODELO'!$B$16,IF(A152&lt;=120,'VARIABLES MODELO'!$B$17,'VARIABLES MODELO'!$B$18)))))</f>
        <v>0.025</v>
      </c>
      <c r="G152" s="3" t="n">
        <f aca="false">D152*F152</f>
        <v>3.28625</v>
      </c>
      <c r="H152" s="70"/>
      <c r="I152" s="3" t="n">
        <f aca="false">IF(H152="",G152,H152)</f>
        <v>3.28625</v>
      </c>
      <c r="J152" s="71" t="n">
        <f aca="false">IF(A152&lt;=15,'VARIABLES MODELO'!$B$8,'VARIABLES MODELO'!$B$10)</f>
        <v>509.36</v>
      </c>
      <c r="K152" s="71" t="n">
        <f aca="false">I152*J152</f>
        <v>1673.8843</v>
      </c>
      <c r="L152" s="71" t="n">
        <f aca="false">SUM($K$4:K152)</f>
        <v>191334.772914</v>
      </c>
      <c r="M152" s="2" t="n">
        <f aca="false">MROUND(I152*'VARIABLES MODELO'!$B$5,30)</f>
        <v>120</v>
      </c>
      <c r="N152" s="2" t="n">
        <f aca="false">IF(A152&lt;=15,MROUND(M152/'VARIABLES MODELO'!$B$11,0.5),MROUND(M152/'VARIABLES MODELO'!$B$12,0.5))</f>
        <v>4</v>
      </c>
      <c r="O152" s="2" t="n">
        <f aca="false">IF(A152&lt;=15,SUM($M$4:M152)/'VARIABLES MODELO'!$B$11,SUM($M$19:M152)/'VARIABLES MODELO'!$B$12)</f>
        <v>359</v>
      </c>
    </row>
    <row r="153" customFormat="false" ht="14.25" hidden="false" customHeight="false" outlineLevel="0" collapsed="false">
      <c r="A153" s="0" t="n">
        <v>150</v>
      </c>
      <c r="B153" s="68" t="n">
        <f aca="false">'VARIABLES MODELO'!$B$4+A153-1</f>
        <v>46434</v>
      </c>
      <c r="C153" s="0" t="str">
        <f aca="false">IF(A153&lt;=15,"Hiper-Precoz 23%","Precoz 19%")</f>
        <v>Precoz 19%</v>
      </c>
      <c r="D153" s="2" t="n">
        <f aca="false">+D152+E152</f>
        <v>132.15</v>
      </c>
      <c r="E153" s="2" t="n">
        <f aca="false">PRECOZ!C140</f>
        <v>0.7</v>
      </c>
      <c r="F153" s="69" t="n">
        <f aca="false">IF(A153&lt;=5,'VARIABLES MODELO'!$B$13,IF(A153&lt;=15,'VARIABLES MODELO'!$B$14,IF(A153&lt;=50,'VARIABLES MODELO'!$B$15,IF(A153&lt;=80,'VARIABLES MODELO'!$B$16,IF(A153&lt;=120,'VARIABLES MODELO'!$B$17,'VARIABLES MODELO'!$B$18)))))</f>
        <v>0.025</v>
      </c>
      <c r="G153" s="3" t="n">
        <f aca="false">D153*F153</f>
        <v>3.30375</v>
      </c>
      <c r="H153" s="70"/>
      <c r="I153" s="3" t="n">
        <f aca="false">IF(H153="",G153,H153)</f>
        <v>3.30375</v>
      </c>
      <c r="J153" s="71" t="n">
        <f aca="false">IF(A153&lt;=15,'VARIABLES MODELO'!$B$8,'VARIABLES MODELO'!$B$10)</f>
        <v>509.36</v>
      </c>
      <c r="K153" s="71" t="n">
        <f aca="false">I153*J153</f>
        <v>1682.7981</v>
      </c>
      <c r="L153" s="71" t="n">
        <f aca="false">SUM($K$4:K153)</f>
        <v>193017.571014</v>
      </c>
      <c r="M153" s="2" t="n">
        <f aca="false">MROUND(I153*'VARIABLES MODELO'!$B$5,30)</f>
        <v>120</v>
      </c>
      <c r="N153" s="2" t="n">
        <f aca="false">IF(A153&lt;=15,MROUND(M153/'VARIABLES MODELO'!$B$11,0.5),MROUND(M153/'VARIABLES MODELO'!$B$12,0.5))</f>
        <v>4</v>
      </c>
      <c r="O153" s="2" t="n">
        <f aca="false">IF(A153&lt;=15,SUM($M$4:M153)/'VARIABLES MODELO'!$B$11,SUM($M$19:M153)/'VARIABLES MODELO'!$B$12)</f>
        <v>363</v>
      </c>
    </row>
  </sheetData>
  <mergeCells count="1">
    <mergeCell ref="A1:P1"/>
  </mergeCells>
  <conditionalFormatting sqref="H4:H153">
    <cfRule type="expression" priority="2" aboveAverage="0" equalAverage="0" bottom="0" percent="0" rank="0" text="" dxfId="0">
      <formula>AND(H4&lt;&gt;"",ABS(H4-G4)/G4&gt;0.1)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.0664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4.25" hidden="false" customHeight="true" outlineLevel="0" collapsed="false">
      <c r="A1" s="59" t="s">
        <v>103</v>
      </c>
      <c r="B1" s="59"/>
      <c r="C1" s="59"/>
      <c r="D1" s="59"/>
      <c r="E1" s="59"/>
      <c r="F1" s="59"/>
      <c r="G1" s="59"/>
      <c r="H1" s="59"/>
      <c r="I1" s="59"/>
      <c r="J1" s="59"/>
    </row>
    <row r="3" customFormat="false" ht="57" hidden="false" customHeight="false" outlineLevel="0" collapsed="false">
      <c r="A3" s="60" t="s">
        <v>104</v>
      </c>
      <c r="B3" s="60" t="s">
        <v>88</v>
      </c>
      <c r="C3" s="60" t="s">
        <v>89</v>
      </c>
      <c r="D3" s="60" t="s">
        <v>105</v>
      </c>
      <c r="E3" s="60" t="s">
        <v>106</v>
      </c>
      <c r="F3" s="60" t="s">
        <v>107</v>
      </c>
      <c r="G3" s="60" t="s">
        <v>108</v>
      </c>
      <c r="H3" s="60" t="s">
        <v>109</v>
      </c>
      <c r="I3" s="60" t="s">
        <v>110</v>
      </c>
      <c r="J3" s="60" t="s">
        <v>111</v>
      </c>
    </row>
    <row r="4" customFormat="false" ht="14.25" hidden="false" customHeight="false" outlineLevel="0" collapsed="false">
      <c r="A4" s="0" t="s">
        <v>112</v>
      </c>
      <c r="B4" s="0" t="n">
        <v>0</v>
      </c>
      <c r="C4" s="68" t="n">
        <f aca="false">+'VARIABLES MODELO'!B4</f>
        <v>46285</v>
      </c>
      <c r="D4" s="46" t="n">
        <f aca="false">+'VARIABLES MODELO'!B6</f>
        <v>55</v>
      </c>
      <c r="E4" s="80"/>
      <c r="F4" s="46" t="str">
        <f aca="false">IF(E4="","",E4-'VARIABLES MODELO'!$B$6)</f>
        <v/>
      </c>
      <c r="G4" s="46" t="n">
        <f aca="false">SUM('MODELO 150D'!$I$4:I4)</f>
        <v>1.1</v>
      </c>
      <c r="H4" s="46" t="str">
        <f aca="false">IF(F4="","",G4/F4)</f>
        <v/>
      </c>
      <c r="I4" s="71" t="n">
        <f aca="false">'MODELO 150D'!L14</f>
        <v>14095.56944</v>
      </c>
      <c r="J4" s="71" t="str">
        <f aca="false">IF(F4="","",I4/F4)</f>
        <v/>
      </c>
    </row>
    <row r="5" customFormat="false" ht="14.25" hidden="false" customHeight="false" outlineLevel="0" collapsed="false">
      <c r="A5" s="0" t="s">
        <v>113</v>
      </c>
      <c r="B5" s="0" t="n">
        <v>15</v>
      </c>
      <c r="C5" s="68" t="n">
        <f aca="false">'MODELO 150D'!B18</f>
        <v>46299</v>
      </c>
      <c r="D5" s="46" t="n">
        <f aca="false">'MODELO 150D'!D18</f>
        <v>55.05</v>
      </c>
      <c r="E5" s="80"/>
      <c r="F5" s="46" t="str">
        <f aca="false">IF(E5="","",E5-'VARIABLES MODELO'!$B$6)</f>
        <v/>
      </c>
      <c r="G5" s="46" t="n">
        <f aca="false">SUM('MODELO 150D'!$I$4:I18)</f>
        <v>24.5795</v>
      </c>
      <c r="H5" s="46" t="str">
        <f aca="false">IF(F5="","",G5/F5)</f>
        <v/>
      </c>
      <c r="I5" s="71" t="n">
        <f aca="false">'MODELO 150D'!L18</f>
        <v>20495.86187</v>
      </c>
      <c r="J5" s="71" t="str">
        <f aca="false">IF(F5="","",I5/F5)</f>
        <v/>
      </c>
    </row>
    <row r="6" customFormat="false" ht="14.25" hidden="false" customHeight="false" outlineLevel="0" collapsed="false">
      <c r="A6" s="0" t="s">
        <v>114</v>
      </c>
      <c r="B6" s="0" t="n">
        <v>30</v>
      </c>
      <c r="C6" s="68" t="n">
        <f aca="false">'MODELO 150D'!B33</f>
        <v>46314</v>
      </c>
      <c r="D6" s="46" t="n">
        <f aca="false">'MODELO 150D'!D33</f>
        <v>59.65</v>
      </c>
      <c r="E6" s="80"/>
      <c r="F6" s="46" t="str">
        <f aca="false">IF(E6="","",E6-'VARIABLES MODELO'!$B$6)</f>
        <v/>
      </c>
      <c r="G6" s="46" t="n">
        <f aca="false">SUM('MODELO 150D'!$I$4:I33)</f>
        <v>52.0531</v>
      </c>
      <c r="H6" s="46" t="str">
        <f aca="false">IF(F6="","",G6/F6)</f>
        <v/>
      </c>
      <c r="I6" s="71" t="n">
        <f aca="false">'MODELO 150D'!L33</f>
        <v>34489.814766</v>
      </c>
      <c r="J6" s="71" t="str">
        <f aca="false">IF(F6="","",I6/F6)</f>
        <v/>
      </c>
    </row>
    <row r="7" customFormat="false" ht="14.25" hidden="false" customHeight="false" outlineLevel="0" collapsed="false">
      <c r="A7" s="0" t="s">
        <v>115</v>
      </c>
      <c r="B7" s="0" t="n">
        <v>45</v>
      </c>
      <c r="C7" s="68" t="n">
        <f aca="false">'MODELO 150D'!B48</f>
        <v>46329</v>
      </c>
      <c r="D7" s="46" t="n">
        <f aca="false">'MODELO 150D'!D48</f>
        <v>65.85</v>
      </c>
      <c r="E7" s="80"/>
      <c r="F7" s="46" t="str">
        <f aca="false">IF(E7="","",E7-'VARIABLES MODELO'!$B$6)</f>
        <v/>
      </c>
      <c r="G7" s="46" t="n">
        <f aca="false">SUM('MODELO 150D'!$I$4:I48)</f>
        <v>82.2371</v>
      </c>
      <c r="H7" s="46" t="str">
        <f aca="false">IF(F7="","",G7/F7)</f>
        <v/>
      </c>
      <c r="I7" s="71" t="n">
        <f aca="false">'MODELO 150D'!L48</f>
        <v>49864.337006</v>
      </c>
      <c r="J7" s="71" t="str">
        <f aca="false">IF(F7="","",I7/F7)</f>
        <v/>
      </c>
    </row>
    <row r="8" customFormat="false" ht="14.25" hidden="false" customHeight="false" outlineLevel="0" collapsed="false">
      <c r="A8" s="0" t="s">
        <v>116</v>
      </c>
      <c r="B8" s="0" t="n">
        <v>60</v>
      </c>
      <c r="C8" s="68" t="n">
        <f aca="false">'MODELO 150D'!B63</f>
        <v>46344</v>
      </c>
      <c r="D8" s="46" t="n">
        <f aca="false">'MODELO 150D'!D63</f>
        <v>73.1</v>
      </c>
      <c r="E8" s="80"/>
      <c r="F8" s="46" t="str">
        <f aca="false">IF(E8="","",E8-'VARIABLES MODELO'!$B$6)</f>
        <v/>
      </c>
      <c r="G8" s="46" t="n">
        <f aca="false">SUM('MODELO 150D'!$I$4:I63)</f>
        <v>114.2186</v>
      </c>
      <c r="H8" s="46" t="str">
        <f aca="false">IF(F8="","",G8/F8)</f>
        <v/>
      </c>
      <c r="I8" s="71" t="n">
        <f aca="false">'MODELO 150D'!L63</f>
        <v>66154.433846</v>
      </c>
      <c r="J8" s="71" t="str">
        <f aca="false">IF(F8="","",I8/F8)</f>
        <v/>
      </c>
    </row>
    <row r="9" customFormat="false" ht="14.25" hidden="false" customHeight="false" outlineLevel="0" collapsed="false">
      <c r="A9" s="0" t="s">
        <v>117</v>
      </c>
      <c r="B9" s="0" t="n">
        <v>75</v>
      </c>
      <c r="C9" s="68" t="n">
        <f aca="false">'MODELO 150D'!B78</f>
        <v>46359</v>
      </c>
      <c r="D9" s="46" t="n">
        <f aca="false">'MODELO 150D'!D78</f>
        <v>82.0999999999999</v>
      </c>
      <c r="E9" s="80"/>
      <c r="F9" s="46" t="str">
        <f aca="false">IF(E9="","",E9-'VARIABLES MODELO'!$B$6)</f>
        <v/>
      </c>
      <c r="G9" s="46" t="n">
        <f aca="false">SUM('MODELO 150D'!$I$4:I78)</f>
        <v>149.2736</v>
      </c>
      <c r="H9" s="46" t="str">
        <f aca="false">IF(F9="","",G9/F9)</f>
        <v/>
      </c>
      <c r="I9" s="71" t="n">
        <f aca="false">'MODELO 150D'!L78</f>
        <v>84010.048646</v>
      </c>
      <c r="J9" s="71" t="str">
        <f aca="false">IF(F9="","",I9/F9)</f>
        <v/>
      </c>
    </row>
    <row r="10" customFormat="false" ht="14.25" hidden="false" customHeight="false" outlineLevel="0" collapsed="false">
      <c r="A10" s="0" t="s">
        <v>118</v>
      </c>
      <c r="B10" s="0" t="n">
        <v>90</v>
      </c>
      <c r="C10" s="68" t="n">
        <f aca="false">'MODELO 150D'!B93</f>
        <v>46374</v>
      </c>
      <c r="D10" s="46" t="n">
        <f aca="false">'MODELO 150D'!D93</f>
        <v>91.2499999999998</v>
      </c>
      <c r="E10" s="80"/>
      <c r="F10" s="46" t="str">
        <f aca="false">IF(E10="","",E10-'VARIABLES MODELO'!$B$6)</f>
        <v/>
      </c>
      <c r="G10" s="46" t="n">
        <f aca="false">SUM('MODELO 150D'!$I$4:I93)</f>
        <v>186.619</v>
      </c>
      <c r="H10" s="46" t="str">
        <f aca="false">IF(F10="","",G10/F10)</f>
        <v/>
      </c>
      <c r="I10" s="71" t="n">
        <f aca="false">'MODELO 150D'!L93</f>
        <v>103032.30159</v>
      </c>
      <c r="J10" s="71" t="str">
        <f aca="false">IF(F10="","",I10/F10)</f>
        <v/>
      </c>
    </row>
    <row r="11" customFormat="false" ht="14.25" hidden="false" customHeight="false" outlineLevel="0" collapsed="false">
      <c r="A11" s="0" t="s">
        <v>119</v>
      </c>
      <c r="B11" s="0" t="n">
        <v>105</v>
      </c>
      <c r="C11" s="68" t="n">
        <f aca="false">'MODELO 150D'!B108</f>
        <v>46389</v>
      </c>
      <c r="D11" s="46" t="n">
        <f aca="false">'MODELO 150D'!D108</f>
        <v>101</v>
      </c>
      <c r="E11" s="80"/>
      <c r="F11" s="46" t="str">
        <f aca="false">IF(E11="","",E11-'VARIABLES MODELO'!$B$6)</f>
        <v/>
      </c>
      <c r="G11" s="46" t="n">
        <f aca="false">SUM('MODELO 150D'!$I$4:I108)</f>
        <v>227.128</v>
      </c>
      <c r="H11" s="46" t="str">
        <f aca="false">IF(F11="","",G11/F11)</f>
        <v/>
      </c>
      <c r="I11" s="71" t="n">
        <f aca="false">'MODELO 150D'!L108</f>
        <v>123665.96583</v>
      </c>
      <c r="J11" s="71" t="str">
        <f aca="false">IF(F11="","",I11/F11)</f>
        <v/>
      </c>
    </row>
    <row r="12" customFormat="false" ht="14.25" hidden="false" customHeight="false" outlineLevel="0" collapsed="false">
      <c r="A12" s="0" t="s">
        <v>120</v>
      </c>
      <c r="B12" s="0" t="n">
        <v>120</v>
      </c>
      <c r="C12" s="68" t="n">
        <f aca="false">'MODELO 150D'!B123</f>
        <v>46404</v>
      </c>
      <c r="D12" s="46" t="n">
        <f aca="false">'MODELO 150D'!D123</f>
        <v>111.15</v>
      </c>
      <c r="E12" s="80"/>
      <c r="F12" s="46" t="str">
        <f aca="false">IF(E12="","",E12-'VARIABLES MODELO'!$B$6)</f>
        <v/>
      </c>
      <c r="G12" s="46" t="n">
        <f aca="false">SUM('MODELO 150D'!$I$4:I123)</f>
        <v>271.7824</v>
      </c>
      <c r="H12" s="46" t="str">
        <f aca="false">IF(F12="","",G12/F12)</f>
        <v/>
      </c>
      <c r="I12" s="71" t="n">
        <f aca="false">'MODELO 150D'!L123</f>
        <v>146411.131014</v>
      </c>
      <c r="J12" s="71" t="str">
        <f aca="false">IF(F12="","",I12/F12)</f>
        <v/>
      </c>
    </row>
    <row r="13" customFormat="false" ht="14.25" hidden="false" customHeight="false" outlineLevel="0" collapsed="false">
      <c r="A13" s="0" t="s">
        <v>121</v>
      </c>
      <c r="B13" s="0" t="n">
        <v>135</v>
      </c>
      <c r="C13" s="68" t="n">
        <f aca="false">'MODELO 150D'!B138</f>
        <v>46419</v>
      </c>
      <c r="D13" s="46" t="n">
        <f aca="false">'MODELO 150D'!D138</f>
        <v>121.65</v>
      </c>
      <c r="E13" s="80"/>
      <c r="F13" s="46" t="str">
        <f aca="false">IF(E13="","",E13-'VARIABLES MODELO'!$B$6)</f>
        <v/>
      </c>
      <c r="G13" s="46" t="n">
        <f aca="false">SUM('MODELO 150D'!$I$4:I138)</f>
        <v>315.56365</v>
      </c>
      <c r="H13" s="46" t="str">
        <f aca="false">IF(F13="","",G13/F13)</f>
        <v/>
      </c>
      <c r="I13" s="71" t="n">
        <f aca="false">'MODELO 150D'!L138</f>
        <v>168711.548514</v>
      </c>
      <c r="J13" s="71" t="str">
        <f aca="false">IF(F13="","",I13/F13)</f>
        <v/>
      </c>
    </row>
    <row r="14" customFormat="false" ht="14.25" hidden="false" customHeight="false" outlineLevel="0" collapsed="false">
      <c r="A14" s="81" t="s">
        <v>122</v>
      </c>
      <c r="B14" s="0" t="n">
        <v>150</v>
      </c>
      <c r="C14" s="68" t="n">
        <f aca="false">'MODELO 150D'!B153</f>
        <v>46434</v>
      </c>
      <c r="D14" s="46" t="n">
        <f aca="false">'MODELO 150D'!D153</f>
        <v>132.15</v>
      </c>
      <c r="E14" s="80"/>
      <c r="F14" s="46" t="str">
        <f aca="false">IF(E14="","",E14-'VARIABLES MODELO'!$B$6)</f>
        <v/>
      </c>
      <c r="G14" s="46" t="n">
        <f aca="false">SUM('MODELO 150D'!$I$4:I153)</f>
        <v>363.2824</v>
      </c>
      <c r="H14" s="46" t="str">
        <f aca="false">IF(F14="","",G14/F14)</f>
        <v/>
      </c>
      <c r="I14" s="71" t="n">
        <f aca="false">'MODELO 150D'!L153</f>
        <v>193017.571014</v>
      </c>
      <c r="J14" s="71" t="str">
        <f aca="false">IF(F14="","",I14/F14)</f>
        <v/>
      </c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9.0664062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8" min="4" style="0" width="18"/>
  </cols>
  <sheetData>
    <row r="1" customFormat="false" ht="14.25" hidden="false" customHeight="true" outlineLevel="0" collapsed="false">
      <c r="A1" s="59" t="s">
        <v>123</v>
      </c>
      <c r="B1" s="59"/>
      <c r="C1" s="59"/>
      <c r="D1" s="59"/>
      <c r="E1" s="59"/>
      <c r="F1" s="59"/>
      <c r="G1" s="59"/>
      <c r="H1" s="59"/>
    </row>
    <row r="3" customFormat="false" ht="14.25" hidden="false" customHeight="false" outlineLevel="0" collapsed="false">
      <c r="A3" s="60" t="s">
        <v>124</v>
      </c>
      <c r="B3" s="60" t="s">
        <v>51</v>
      </c>
      <c r="D3" s="60" t="s">
        <v>125</v>
      </c>
      <c r="E3" s="60" t="s">
        <v>126</v>
      </c>
      <c r="F3" s="60" t="s">
        <v>127</v>
      </c>
      <c r="G3" s="60" t="s">
        <v>128</v>
      </c>
      <c r="H3" s="60" t="s">
        <v>111</v>
      </c>
    </row>
    <row r="4" customFormat="false" ht="14.25" hidden="false" customHeight="false" outlineLevel="0" collapsed="false">
      <c r="A4" s="82" t="s">
        <v>129</v>
      </c>
      <c r="B4" s="83" t="n">
        <f aca="false">+'VARIABLES MODELO'!B5</f>
        <v>33</v>
      </c>
      <c r="D4" s="0" t="s">
        <v>130</v>
      </c>
      <c r="E4" s="46" t="n">
        <f aca="false">RESUMEN!G6</f>
        <v>376.1825</v>
      </c>
      <c r="F4" s="46" t="n">
        <f aca="false">RESUMEN!G6/76.95</f>
        <v>4.88866146848603</v>
      </c>
      <c r="G4" s="71" t="n">
        <f aca="false">HIPER!E27+PRECOZ!E148</f>
        <v>198262.13445</v>
      </c>
      <c r="H4" s="71" t="n">
        <f aca="false">(HIPER!E27+PRECOZ!E148)/76.95</f>
        <v>2576.50597076023</v>
      </c>
    </row>
    <row r="5" customFormat="false" ht="14.25" hidden="false" customHeight="false" outlineLevel="0" collapsed="false">
      <c r="A5" s="82" t="s">
        <v>131</v>
      </c>
      <c r="B5" s="84" t="n">
        <f aca="false">'VARIABLES MODELO'!B6</f>
        <v>55</v>
      </c>
      <c r="D5" s="0" t="s">
        <v>132</v>
      </c>
      <c r="E5" s="46" t="n">
        <f aca="false">B10</f>
        <v>363.2824</v>
      </c>
      <c r="F5" s="46" t="n">
        <f aca="false">B11</f>
        <v>4.70878029812054</v>
      </c>
      <c r="G5" s="71" t="n">
        <f aca="false">B14</f>
        <v>193017.571014</v>
      </c>
      <c r="H5" s="71" t="n">
        <f aca="false">B15</f>
        <v>2501.84797166558</v>
      </c>
    </row>
    <row r="6" customFormat="false" ht="14.25" hidden="false" customHeight="false" outlineLevel="0" collapsed="false">
      <c r="A6" s="82" t="s">
        <v>133</v>
      </c>
      <c r="B6" s="84" t="n">
        <f aca="false">IF('CONTROL QUINCENAL'!E14="",'CONTROL QUINCENAL'!D14,'CONTROL QUINCENAL'!E14)</f>
        <v>132.15</v>
      </c>
    </row>
    <row r="7" customFormat="false" ht="14.25" hidden="false" customHeight="false" outlineLevel="0" collapsed="false">
      <c r="A7" s="82" t="s">
        <v>134</v>
      </c>
      <c r="B7" s="84" t="n">
        <f aca="false">B6-B5</f>
        <v>77.15</v>
      </c>
    </row>
    <row r="8" customFormat="false" ht="14.25" hidden="false" customHeight="true" outlineLevel="0" collapsed="false">
      <c r="A8" s="82" t="s">
        <v>135</v>
      </c>
      <c r="B8" s="84" t="n">
        <f aca="false">SUM('MODELO 150D'!I4:I18)</f>
        <v>24.5795</v>
      </c>
      <c r="D8" s="85" t="s">
        <v>136</v>
      </c>
      <c r="E8" s="85"/>
      <c r="F8" s="85"/>
      <c r="G8" s="85"/>
      <c r="H8" s="85"/>
    </row>
    <row r="9" customFormat="false" ht="14.25" hidden="false" customHeight="false" outlineLevel="0" collapsed="false">
      <c r="A9" s="82" t="s">
        <v>137</v>
      </c>
      <c r="B9" s="84" t="n">
        <f aca="false">SUM('MODELO 150D'!I19:I153)</f>
        <v>338.7029</v>
      </c>
      <c r="D9" s="85"/>
      <c r="E9" s="85"/>
      <c r="F9" s="85"/>
      <c r="G9" s="85"/>
      <c r="H9" s="85"/>
    </row>
    <row r="10" customFormat="false" ht="14.25" hidden="false" customHeight="false" outlineLevel="0" collapsed="false">
      <c r="A10" s="82" t="s">
        <v>138</v>
      </c>
      <c r="B10" s="84" t="n">
        <f aca="false">B8+B9</f>
        <v>363.2824</v>
      </c>
      <c r="D10" s="85"/>
      <c r="E10" s="85"/>
      <c r="F10" s="85"/>
      <c r="G10" s="85"/>
      <c r="H10" s="85"/>
    </row>
    <row r="11" customFormat="false" ht="14.25" hidden="false" customHeight="false" outlineLevel="0" collapsed="false">
      <c r="A11" s="82" t="s">
        <v>139</v>
      </c>
      <c r="B11" s="84" t="n">
        <f aca="false">B10/B7</f>
        <v>4.70878029812054</v>
      </c>
      <c r="D11" s="85"/>
      <c r="E11" s="85"/>
      <c r="F11" s="85"/>
      <c r="G11" s="85"/>
      <c r="H11" s="85"/>
    </row>
    <row r="12" customFormat="false" ht="14.25" hidden="false" customHeight="false" outlineLevel="0" collapsed="false">
      <c r="A12" s="82" t="s">
        <v>140</v>
      </c>
      <c r="B12" s="86" t="n">
        <f aca="false">SUM('MODELO 150D'!K4:K18)</f>
        <v>20495.86187</v>
      </c>
      <c r="D12" s="85"/>
      <c r="E12" s="85"/>
      <c r="F12" s="85"/>
      <c r="G12" s="85"/>
      <c r="H12" s="85"/>
    </row>
    <row r="13" customFormat="false" ht="14.25" hidden="false" customHeight="false" outlineLevel="0" collapsed="false">
      <c r="A13" s="82" t="s">
        <v>141</v>
      </c>
      <c r="B13" s="86" t="n">
        <f aca="false">SUM('MODELO 150D'!K19:K153)</f>
        <v>172521.709144</v>
      </c>
    </row>
    <row r="14" customFormat="false" ht="14.25" hidden="false" customHeight="false" outlineLevel="0" collapsed="false">
      <c r="A14" s="82" t="s">
        <v>142</v>
      </c>
      <c r="B14" s="86" t="n">
        <f aca="false">B12+B13</f>
        <v>193017.571014</v>
      </c>
    </row>
    <row r="15" customFormat="false" ht="14.25" hidden="false" customHeight="false" outlineLevel="0" collapsed="false">
      <c r="A15" s="82" t="s">
        <v>143</v>
      </c>
      <c r="B15" s="86" t="n">
        <f aca="false">B14/B7</f>
        <v>2501.84797166558</v>
      </c>
    </row>
    <row r="16" customFormat="false" ht="14.25" hidden="false" customHeight="false" outlineLevel="0" collapsed="false">
      <c r="A16" s="87" t="s">
        <v>144</v>
      </c>
      <c r="B16" s="86" t="n">
        <f aca="false">B14*B4</f>
        <v>6369579.843462</v>
      </c>
    </row>
    <row r="17" customFormat="false" ht="14.25" hidden="false" customHeight="false" outlineLevel="0" collapsed="false">
      <c r="A17" s="87"/>
      <c r="B17" s="88"/>
    </row>
    <row r="18" customFormat="false" ht="14.25" hidden="false" customHeight="false" outlineLevel="0" collapsed="false">
      <c r="A18" s="87" t="s">
        <v>145</v>
      </c>
      <c r="B18" s="84" t="n">
        <f aca="false">MROUND(B8*B4/'VARIABLES MODELO'!B11,1)</f>
        <v>32</v>
      </c>
    </row>
    <row r="19" customFormat="false" ht="14.25" hidden="false" customHeight="false" outlineLevel="0" collapsed="false">
      <c r="A19" s="87" t="s">
        <v>146</v>
      </c>
      <c r="B19" s="84" t="n">
        <f aca="false">MROUND(B8*B4/1000,1)</f>
        <v>1</v>
      </c>
    </row>
    <row r="20" customFormat="false" ht="14.25" hidden="false" customHeight="false" outlineLevel="0" collapsed="false">
      <c r="A20" s="87" t="s">
        <v>147</v>
      </c>
      <c r="B20" s="84" t="n">
        <f aca="false">MROUND(B9*B4/'VARIABLES MODELO'!B12,1)</f>
        <v>373</v>
      </c>
    </row>
    <row r="21" customFormat="false" ht="14.25" hidden="false" customHeight="false" outlineLevel="0" collapsed="false">
      <c r="A21" s="87" t="s">
        <v>148</v>
      </c>
      <c r="B21" s="84" t="n">
        <f aca="false">MROUND(B9*B4/1000,1)</f>
        <v>11</v>
      </c>
    </row>
    <row r="22" customFormat="false" ht="14.25" hidden="false" customHeight="false" outlineLevel="0" collapsed="false">
      <c r="A22" s="87" t="s">
        <v>149</v>
      </c>
      <c r="B22" s="86" t="n">
        <f aca="false">B7*'VARIABLES MODELO'!B19</f>
        <v>540050</v>
      </c>
    </row>
    <row r="23" customFormat="false" ht="14.25" hidden="false" customHeight="false" outlineLevel="0" collapsed="false">
      <c r="A23" s="87" t="s">
        <v>150</v>
      </c>
      <c r="B23" s="86" t="n">
        <f aca="false">B22-B14</f>
        <v>347032.428986</v>
      </c>
    </row>
    <row r="25" customFormat="false" ht="14.25" hidden="false" customHeight="false" outlineLevel="0" collapsed="false">
      <c r="A25" s="87" t="s">
        <v>151</v>
      </c>
      <c r="B25" s="86" t="n">
        <f aca="false">+B19*'VARIABLES MODELO'!B7+'RESUMEN MEJORADO'!B21*'VARIABLES MODELO'!B9</f>
        <v>6436820</v>
      </c>
    </row>
    <row r="26" customFormat="false" ht="14.25" hidden="false" customHeight="false" outlineLevel="0" collapsed="false">
      <c r="A26" s="89" t="s">
        <v>152</v>
      </c>
      <c r="B26" s="90" t="n">
        <f aca="false">+B4*B7*'VARIABLES MODELO'!B19</f>
        <v>17821650</v>
      </c>
    </row>
    <row r="28" customFormat="false" ht="14.25" hidden="false" customHeight="false" outlineLevel="0" collapsed="false">
      <c r="A28" s="91" t="s">
        <v>153</v>
      </c>
      <c r="B28" s="92" t="n">
        <f aca="false">+B26-B25</f>
        <v>11384830</v>
      </c>
    </row>
    <row r="29" customFormat="false" ht="14.25" hidden="false" customHeight="false" outlineLevel="0" collapsed="false">
      <c r="A29" s="91"/>
      <c r="B29" s="93"/>
    </row>
  </sheetData>
  <mergeCells count="2">
    <mergeCell ref="A1:H1"/>
    <mergeCell ref="D8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2026-09-10T10:55:50Z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